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68fafdeab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한눈에" sheetId="1" r:id="R8ceaa60df5e44626"/>
    <x:sheet xmlns:r="http://schemas.openxmlformats.org/officeDocument/2006/relationships" name="01_입력설정" sheetId="2" r:id="R7beced63bcbb48b2"/>
    <x:sheet xmlns:r="http://schemas.openxmlformats.org/officeDocument/2006/relationships" name="02_유사도계산" sheetId="3" r:id="R75f65226ffc44642"/>
    <x:sheet xmlns:r="http://schemas.openxmlformats.org/officeDocument/2006/relationships" name="03_PER밴드" sheetId="4" r:id="R361bada7428044b9"/>
    <x:sheet xmlns:r="http://schemas.openxmlformats.org/officeDocument/2006/relationships" name="04_단계별설계" sheetId="5" r:id="R26ff7b0bc74c4517"/>
    <x:sheet xmlns:r="http://schemas.openxmlformats.org/officeDocument/2006/relationships" name="05_기업입력" sheetId="6" r:id="Rff4d0323a60a4642"/>
    <x:sheet xmlns:r="http://schemas.openxmlformats.org/officeDocument/2006/relationships" name="06_프로필근거" sheetId="7" r:id="R9a9a26b0b057469d"/>
    <x:sheet xmlns:r="http://schemas.openxmlformats.org/officeDocument/2006/relationships" name="07_데이터사전" sheetId="8" r:id="Rb363fbb92f144905"/>
    <x:sheet xmlns:r="http://schemas.openxmlformats.org/officeDocument/2006/relationships" name="08_방법과운영" sheetId="9" r:id="Rcd12e9499adb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(0.0%);&quot;-&quot;"/>
    <x:numFmt numFmtId="201" formatCode="yyyy-mm-dd"/>
    <x:numFmt numFmtId="202" formatCode="#,##0;(#,##0);&quot;-&quot;"/>
    <x:numFmt numFmtId="203" formatCode="0.00"/>
    <x:numFmt numFmtId="204" formatCode="0"/>
    <x:numFmt numFmtId="205" formatCode="0.0"/>
    <x:numFmt numFmtId="206" formatCode="0.00&quot;x&quot;"/>
    <x:numFmt numFmtId="207" formatCode="#,##0.00;(#,##0.00);&quot;-&quot;"/>
  </x:numFmts>
  <x:fonts count="14">
    <x:font>
      <x:sz val="11"/>
      <x:name val="Carlito"/>
    </x:font>
    <x:font>
      <x:sz val="11"/>
      <x:name val="Arial"/>
    </x:font>
    <x:font>
      <x:sz val="11"/>
      <x:color rgb="FF17324D"/>
      <x:name val="Arial"/>
    </x:font>
    <x:font>
      <x:sz val="17"/>
      <x:color rgb="FF17324D"/>
      <x:name val="Arial"/>
    </x:font>
    <x:font>
      <x:b/>
      <x:sz val="17"/>
      <x:color rgb="FF17324D"/>
      <x:name val="Arial"/>
    </x:font>
    <x:font>
      <x:sz val="11"/>
      <x:color rgb="FF65758B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2258A5"/>
      <x:name val="Arial"/>
    </x:font>
    <x:font>
      <x:sz val="11"/>
      <x:color rgb="FF111111"/>
      <x:name val="Arial"/>
    </x:font>
    <x:font>
      <x:sz val="11"/>
      <x:color rgb="FF00804A"/>
      <x:name val="Arial"/>
    </x:font>
    <x:font>
      <x:b/>
      <x:sz val="11"/>
      <x:color rgb="FF17324D"/>
      <x:name val="Arial"/>
    </x:font>
    <x:font>
      <x:b/>
      <x:sz val="11"/>
      <x:color rgb="FF00804A"/>
      <x:name val="Arial"/>
    </x:font>
    <x:font>
      <x:sz val="10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DDECE8"/>
      </x:patternFill>
    </x:fill>
    <x:fill>
      <x:patternFill patternType="solid">
        <x:fgColor rgb="FFEEF3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6766F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8" fillId="3" borderId="0" xfId="0" applyNumberFormat="1" applyFont="1" applyFill="1" applyBorder="1" applyAlignment="1">
      <x:alignment vertical="center"/>
    </x:xf>
    <x:xf numFmtId="202" fontId="8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8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6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7" fontId="9" fillId="0" borderId="0" xfId="0" applyNumberFormat="1" applyFont="1" applyFill="1" applyBorder="1" applyAlignment="1">
      <x:alignment vertical="center"/>
    </x:xf>
    <x:xf numFmtId="207" fontId="2" fillId="0" borderId="0" xfId="0" applyNumberFormat="1" applyFont="1" applyFill="1" applyBorder="1" applyAlignment="1">
      <x:alignment vertical="center"/>
    </x:xf>
    <x:xf numFmtId="207" fontId="10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7" fontId="10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7" fontId="12" fillId="5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 wrapText="1"/>
    </x:xf>
    <x:xf numFmtId="202" fontId="10" fillId="0" borderId="0" xfId="0" applyNumberFormat="1" applyFont="1" applyFill="1" applyBorder="1" applyAlignment="1">
      <x:alignment vertical="center" wrapText="1"/>
    </x:xf>
    <x:xf numFmtId="206" fontId="9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7" fontId="9" fillId="0" borderId="0" xfId="0" applyNumberFormat="1" applyFont="1" applyFill="1" applyBorder="1" applyAlignment="1">
      <x:alignment vertical="center" wrapText="1"/>
    </x:xf>
    <x:xf numFmtId="207" fontId="2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207" fontId="12" fillId="5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vertical="center"/>
    </x:xf>
    <x:xf numFmtId="202" fontId="11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82432"/>
      </x:font>
      <x:fill>
        <x:patternFill patternType="solid">
          <x:bgColor rgb="FFFCE4E6"/>
        </x:patternFill>
      </x:fill>
    </x:dxf>
    <x:dxf>
      <x:font>
        <x:b/>
        <x:color rgb="FFA82432"/>
      </x:font>
      <x:fill>
        <x:patternFill patternType="solid">
          <x:bgColor rgb="FFFCE4E6"/>
        </x:patternFill>
      </x:fill>
    </x:dxf>
    <x:dxf>
      <x:font>
        <x:b/>
        <x:color rgb="FFA82432"/>
      </x:font>
      <x:fill>
        <x:patternFill patternType="solid">
          <x:bgColor rgb="FFFCE4E6"/>
        </x:patternFill>
      </x:fill>
    </x:dxf>
    <x:dxf>
      <x:font>
        <x:b/>
        <x:color rgb="FFA824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a50ce9e8b47c5" /><Relationship Type="http://schemas.openxmlformats.org/officeDocument/2006/relationships/theme" Target="/xl/theme/theme1.xml" Id="Rf166dcd3e2334a9c" /><Relationship Type="http://schemas.openxmlformats.org/officeDocument/2006/relationships/sharedStrings" Target="/xl/sharedStrings.xml" Id="R78d9812cabd94476" /><Relationship Type="http://schemas.openxmlformats.org/officeDocument/2006/relationships/worksheet" Target="/xl/worksheets/sheet1.xml" Id="R8ceaa60df5e44626" /><Relationship Type="http://schemas.openxmlformats.org/officeDocument/2006/relationships/worksheet" Target="/xl/worksheets/sheet2.xml" Id="R7beced63bcbb48b2" /><Relationship Type="http://schemas.openxmlformats.org/officeDocument/2006/relationships/worksheet" Target="/xl/worksheets/sheet3.xml" Id="R75f65226ffc44642" /><Relationship Type="http://schemas.openxmlformats.org/officeDocument/2006/relationships/worksheet" Target="/xl/worksheets/sheet4.xml" Id="R361bada7428044b9" /><Relationship Type="http://schemas.openxmlformats.org/officeDocument/2006/relationships/worksheet" Target="/xl/worksheets/sheet5.xml" Id="R26ff7b0bc74c4517" /><Relationship Type="http://schemas.openxmlformats.org/officeDocument/2006/relationships/worksheet" Target="/xl/worksheets/sheet6.xml" Id="Rff4d0323a60a4642" /><Relationship Type="http://schemas.openxmlformats.org/officeDocument/2006/relationships/worksheet" Target="/xl/worksheets/sheet7.xml" Id="R9a9a26b0b057469d" /><Relationship Type="http://schemas.openxmlformats.org/officeDocument/2006/relationships/worksheet" Target="/xl/worksheets/sheet8.xml" Id="Rb363fbb92f144905" /><Relationship Type="http://schemas.openxmlformats.org/officeDocument/2006/relationships/worksheet" Target="/xl/worksheets/sheet9.xml" Id="Rcd12e9499adb47a5" /></Relationships>
</file>

<file path=xl/tables/table1.xml><?xml version="1.0" encoding="utf-8"?>
<x:table xmlns:x="http://schemas.openxmlformats.org/spreadsheetml/2006/main" id="3" name="PipelineSteps" displayName="PipelineSteps" ref="A5:H13" headerRowCount="1" totalsRowCount="0" totalsRowShown="0">
  <x:tableColumns count="8">
    <x:tableColumn id="1" name="단계"/>
    <x:tableColumn id="2" name="목적"/>
    <x:tableColumn id="3" name="불러올 데이터"/>
    <x:tableColumn id="4" name="처리 방법"/>
    <x:tableColumn id="5" name="설정 / 파라미터"/>
    <x:tableColumn id="6" name="출력 데이터"/>
    <x:tableColumn id="7" name="사용자 화면 / 행동"/>
    <x:tableColumn id="8" name="검증 / 예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eatureInputs" displayName="FeatureInputs" ref="A5:N14" headerRowCount="1" totalsRowCount="0" totalsRowShown="0">
  <x:tableColumns count="14">
    <x:tableColumn id="1" name="기업 ID"/>
    <x:tableColumn id="2" name="기업명"/>
    <x:tableColumn id="3" name="산업 설명"/>
    <x:tableColumn id="4" name="산업 코사인"/>
    <x:tableColumn id="5" name="BM 코사인"/>
    <x:tableColumn id="6" name="매출 성장률"/>
    <x:tableColumn id="7" name="리스크 코사인"/>
    <x:tableColumn id="8" name="영업이익률"/>
    <x:tableColumn id="9" name="부채 / 자산"/>
    <x:tableColumn id="10" name="근거 충족률"/>
    <x:tableColumn id="11" name="근거 검증 상태"/>
    <x:tableColumn id="12" name="원천 / 근거 위치"/>
    <x:tableColumn id="13" name="공개일 / 기준일"/>
    <x:tableColumn id="14" name="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inancialInputs" displayName="FinancialInputs" ref="A20:K28" headerRowCount="1" totalsRowCount="0" totalsRowShown="0">
  <x:tableColumns count="11">
    <x:tableColumn id="1" name="기업 ID"/>
    <x:tableColumn id="2" name="시가총액 (원)"/>
    <x:tableColumn id="3" name="정상화 귀속 이익 (원)"/>
    <x:tableColumn id="4" name="이익 비교기간"/>
    <x:tableColumn id="5" name="통화"/>
    <x:tableColumn id="6" name="재무 기준"/>
    <x:tableColumn id="7" name="시총 기준일"/>
    <x:tableColumn id="8" name="재무 검증 상태"/>
    <x:tableColumn id="9" name="원천 / 조정 근거"/>
    <x:tableColumn id="10" name="PER 선택 1/0"/>
    <x:tableColumn id="11" name="선택 / 제외 이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Evidence" displayName="ProfileEvidence" ref="A5:J29" headerRowCount="1" totalsRowCount="0" totalsRowShown="0">
  <x:tableColumns count="10">
    <x:tableColumn id="1" name="기업 ID"/>
    <x:tableColumn id="2" name="영역"/>
    <x:tableColumn id="3" name="필드 키"/>
    <x:tableColumn id="4" name="필드 값 / 예시"/>
    <x:tableColumn id="5" name="기간 / 기준"/>
    <x:tableColumn id="6" name="입력 상태"/>
    <x:tableColumn id="7" name="근거 ID"/>
    <x:tableColumn id="8" name="추출 상태"/>
    <x:tableColumn id="9" name="정의 / 원문 위치"/>
    <x:tableColumn id="10" name="검토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" displayName="DataDictionary" ref="A5:H45" headerRowCount="1" totalsRowCount="0" totalsRowShown="0">
  <x:tableColumns count="8">
    <x:tableColumn id="1" name="개체"/>
    <x:tableColumn id="2" name="필드"/>
    <x:tableColumn id="3" name="자료형"/>
    <x:tableColumn id="4" name="행의 단위"/>
    <x:tableColumn id="5" name="제약 / 단위"/>
    <x:tableColumn id="6" name="정의와 검증 규칙"/>
    <x:tableColumn id="7" name="예시"/>
    <x:tableColumn id="8" name="사용 단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ology" displayName="Methodology" ref="A5:D31" headerRowCount="1" totalsRowCount="0" totalsRowShown="0">
  <x:tableColumns count="4">
    <x:tableColumn id="1" name="주제"/>
    <x:tableColumn id="2" name="규칙 / 공식"/>
    <x:tableColumn id="3" name="설명"/>
    <x:tableColumn id="4" name="적용 / 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4d2d061139b149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15fe8f2aeeb24e39" /><Relationship Type="http://schemas.openxmlformats.org/officeDocument/2006/relationships/table" Target="/xl/tables/table3.xml" Id="Rf2cb8c1253cf45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5766ffc506a43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43a43ea6c86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f2943552bc246a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39" hidden="0" customWidth="1"/>
    <x:col min="4" max="4" width="31" hidden="0" customWidth="1"/>
    <x:col min="5" max="5" width="28" hidden="0" customWidth="1"/>
    <x:col min="6" max="6" width="29" hidden="0" customWidth="1"/>
  </x:cols>
  <x:sheetData>
    <x:row r="1" ht="25" customHeight="1">
      <x:c r="A1" s="3"/>
      <x:c r="B1" s="3"/>
      <x:c r="C1" s="3"/>
      <x:c r="D1" s="3"/>
      <x:c r="E1" s="3"/>
      <x:c r="F1" s="3"/>
    </x:row>
    <x:row r="2" ht="25" customHeight="1">
      <x:c r="A2" s="5" t="str">
        <x:v>RAG 비교기업 선정과 IPO PER 평가</x:v>
      </x:c>
      <x:c r="B2" s="3"/>
      <x:c r="C2" s="3"/>
      <x:c r="D2" s="3"/>
      <x:c r="E2" s="3"/>
      <x:c r="F2" s="3"/>
    </x:row>
    <x:row r="3" ht="25" customHeight="1">
      <x:c r="A3" s="7" t="str">
        <x:v>8단계 설계와 편집 가능한 계산 예시 · 실기업 데이터는 입력되지 않았습니다.</x:v>
      </x:c>
      <x:c r="B3" s="6"/>
      <x:c r="C3" s="6"/>
      <x:c r="D3" s="6"/>
      <x:c r="E3" s="6"/>
      <x:c r="F3" s="6"/>
    </x:row>
    <x:row r="4" ht="25" customHeight="1">
      <x:c r="A4" s="3"/>
      <x:c r="B4" s="3"/>
      <x:c r="C4" s="3"/>
      <x:c r="D4" s="3"/>
      <x:c r="E4" s="3"/>
      <x:c r="F4" s="3"/>
    </x:row>
    <x:row r="5" ht="34" customHeight="1">
      <x:c r="A5" s="12" t="str">
        <x:v>구분</x:v>
      </x:c>
      <x:c r="B5" s="12" t="str">
        <x:v>현재 결과</x:v>
      </x:c>
      <x:c r="C5" s="12" t="str">
        <x:v>설명</x:v>
      </x:c>
      <x:c r="D5" s="3"/>
      <x:c r="E5" s="3"/>
      <x:c r="F5" s="3"/>
    </x:row>
    <x:row r="6" ht="31" customHeight="1">
      <x:c r="A6" s="3" t="str">
        <x:v>모드</x:v>
      </x:c>
      <x:c r="B6" s="3" t="str">
        <x:f>'01_입력설정'!B12</x:f>
        <x:v>예시</x:v>
      </x:c>
      <x:c r="C6" s="3" t="str">
        <x:v>예시 / 확정 입력 상태를 구분</x:v>
      </x:c>
      <x:c r="D6" s="3"/>
      <x:c r="E6" s="3"/>
      <x:c r="F6" s="3"/>
    </x:row>
    <x:row r="7" ht="31" customHeight="1">
      <x:c r="A7" s="3" t="str">
        <x:v>대상</x:v>
      </x:c>
      <x:c r="B7" s="3" t="str">
        <x:f>'01_입력설정'!B6</x:f>
        <x:v>예시테크</x:v>
      </x:c>
      <x:c r="C7" s="3" t="str">
        <x:v>선택한 기업</x:v>
      </x:c>
      <x:c r="D7" s="3"/>
      <x:c r="E7" s="3"/>
      <x:c r="F7" s="3"/>
    </x:row>
    <x:row r="8" ht="31" customHeight="1">
      <x:c r="A8" s="3" t="str">
        <x:v>후보</x:v>
      </x:c>
      <x:c r="B8" s="40" t="n">
        <x:f>SUM('02_유사도계산'!E6:E13)</x:f>
        <x:v>7</x:v>
      </x:c>
      <x:c r="C8" s="3" t="str">
        <x:v>1차 산업 필터 통과 기업 수</x:v>
      </x:c>
      <x:c r="D8" s="3"/>
      <x:c r="E8" s="3"/>
      <x:c r="F8" s="3"/>
    </x:row>
    <x:row r="9" ht="31" customHeight="1">
      <x:c r="A9" s="3" t="str">
        <x:v>BM</x:v>
      </x:c>
      <x:c r="B9" s="40" t="n">
        <x:f>SUM('02_유사도계산'!H6:H13)</x:f>
        <x:v>6</x:v>
      </x:c>
      <x:c r="C9" s="3" t="str">
        <x:v>2차 BM 필터 통과 기업 수</x:v>
      </x:c>
      <x:c r="D9" s="3"/>
      <x:c r="E9" s="3"/>
      <x:c r="F9" s="3"/>
    </x:row>
    <x:row r="10" ht="31" customHeight="1">
      <x:c r="A10" s="3" t="str">
        <x:v>순위</x:v>
      </x:c>
      <x:c r="B10" s="40" t="n">
        <x:f>COUNT('02_유사도계산'!N6:N13)</x:f>
        <x:v>5</x:v>
      </x:c>
      <x:c r="C10" s="3" t="str">
        <x:v>근거·필드 검증 후 점수 산출 기업 수</x:v>
      </x:c>
      <x:c r="D10" s="3"/>
      <x:c r="E10" s="3"/>
      <x:c r="F10" s="3"/>
    </x:row>
    <x:row r="11" ht="31" customHeight="1">
      <x:c r="A11" s="3" t="str">
        <x:v>PER</x:v>
      </x:c>
      <x:c r="B11" s="40" t="n">
        <x:f>'03_PER밴드'!B17</x:f>
        <x:v>3</x:v>
      </x:c>
      <x:c r="C11" s="3" t="str">
        <x:v>사용자가 선택한 적격 비교기업 수</x:v>
      </x:c>
      <x:c r="D11" s="3"/>
      <x:c r="E11" s="3"/>
      <x:c r="F11" s="3"/>
    </x:row>
    <x:row r="12" ht="31" customHeight="1">
      <x:c r="A12" s="44" t="str">
        <x:v>하단</x:v>
      </x:c>
      <x:c r="B12" s="59" t="n">
        <x:f>'03_PER밴드'!B34</x:f>
        <x:v>14300</x:v>
      </x:c>
      <x:c r="C12" s="44" t="str">
        <x:v>공모가 하단 (원/주)</x:v>
      </x:c>
      <x:c r="D12" s="3"/>
      <x:c r="E12" s="3"/>
      <x:c r="F12" s="3"/>
    </x:row>
    <x:row r="13" ht="31" customHeight="1">
      <x:c r="A13" s="44" t="str">
        <x:v>상단</x:v>
      </x:c>
      <x:c r="B13" s="59" t="n">
        <x:f>'03_PER밴드'!B35</x:f>
        <x:v>19900</x:v>
      </x:c>
      <x:c r="C13" s="44" t="str">
        <x:v>공모가 상단 (원/주)</x:v>
      </x:c>
      <x:c r="D13" s="3"/>
      <x:c r="E13" s="3"/>
      <x:c r="F13" s="3"/>
    </x:row>
    <x:row r="14" ht="25" customHeight="1">
      <x:c r="A14" s="3"/>
      <x:c r="B14" s="3"/>
      <x:c r="C14" s="3"/>
      <x:c r="D14" s="3"/>
      <x:c r="E14" s="3"/>
      <x:c r="F14" s="3"/>
    </x:row>
    <x:row r="15" ht="25" customHeight="1">
      <x:c r="A15" s="3"/>
      <x:c r="B15" s="3"/>
      <x:c r="C15" s="3"/>
      <x:c r="D15" s="3"/>
      <x:c r="E15" s="3"/>
      <x:c r="F15" s="3"/>
    </x:row>
    <x:row r="16" ht="34" customHeight="1">
      <x:c r="A16" s="12" t="str">
        <x:v>단계</x:v>
      </x:c>
      <x:c r="B16" s="12" t="str">
        <x:v>작업</x:v>
      </x:c>
      <x:c r="C16" s="12" t="str">
        <x:v>핵심 입력</x:v>
      </x:c>
      <x:c r="D16" s="12" t="str">
        <x:v>핵심 처리</x:v>
      </x:c>
      <x:c r="E16" s="12" t="str">
        <x:v>사용자 행동</x:v>
      </x:c>
      <x:c r="F16" s="12" t="str">
        <x:v>결과</x:v>
      </x:c>
    </x:row>
    <x:row r="17" ht="44" customHeight="1">
      <x:c r="A17" s="13" t="str">
        <x:v>01</x:v>
      </x:c>
      <x:c r="B17" s="13" t="str">
        <x:v>산업·기업 선택</x:v>
      </x:c>
      <x:c r="C17" s="13" t="str">
        <x:v>산업, 회사 ID, 기준일</x:v>
      </x:c>
      <x:c r="D17" s="13" t="str">
        <x:v>대상·분석 범위 고정</x:v>
      </x:c>
      <x:c r="E17" s="13" t="str">
        <x:v>산업과 대상 선택</x:v>
      </x:c>
      <x:c r="F17" s="13" t="str">
        <x:v>분석 실행 조건</x:v>
      </x:c>
    </x:row>
    <x:row r="18" ht="44" customHeight="1">
      <x:c r="A18" s="60" t="str">
        <x:v>02</x:v>
      </x:c>
      <x:c r="B18" s="60" t="str">
        <x:v>산업 1차 필터</x:v>
      </x:c>
      <x:c r="C18" s="60" t="str">
        <x:v>산업 설명 벡터</x:v>
      </x:c>
      <x:c r="D18" s="60" t="str">
        <x:v>산업 코사인 + 임계값 + N</x:v>
      </x:c>
      <x:c r="E18" s="60" t="str">
        <x:v>후보 수 확인</x:v>
      </x:c>
      <x:c r="F18" s="60" t="str">
        <x:v>산업 후보군</x:v>
      </x:c>
    </x:row>
    <x:row r="19" ht="44" customHeight="1">
      <x:c r="A19" s="13" t="str">
        <x:v>03</x:v>
      </x:c>
      <x:c r="B19" s="13" t="str">
        <x:v>대상 프로필 작성</x:v>
      </x:c>
      <x:c r="C19" s="13" t="str">
        <x:v>공시·IR·재무·위험요인</x:v>
      </x:c>
      <x:c r="D19" s="13" t="str">
        <x:v>RAG 검색 + LLM 구조화</x:v>
      </x:c>
      <x:c r="E19" s="13" t="str">
        <x:v>프로필·근거 확인</x:v>
      </x:c>
      <x:c r="F19" s="13" t="str">
        <x:v>4영역 프로필</x:v>
      </x:c>
    </x:row>
    <x:row r="20" ht="44" customHeight="1">
      <x:c r="A20" s="60" t="str">
        <x:v>04</x:v>
      </x:c>
      <x:c r="B20" s="60" t="str">
        <x:v>가중치 설정</x:v>
      </x:c>
      <x:c r="C20" s="60" t="str">
        <x:v>BM·성장·리스크·재무</x:v>
      </x:c>
      <x:c r="D20" s="60" t="str">
        <x:v>합계 100% 검증</x:v>
      </x:c>
      <x:c r="E20" s="60" t="str">
        <x:v>4개 가중치 입력</x:v>
      </x:c>
      <x:c r="F20" s="60" t="str">
        <x:v>사용자 가중치</x:v>
      </x:c>
    </x:row>
    <x:row r="21" ht="44" customHeight="1">
      <x:c r="A21" s="13" t="str">
        <x:v>05</x:v>
      </x:c>
      <x:c r="B21" s="13" t="str">
        <x:v>BM 2차 필터</x:v>
      </x:c>
      <x:c r="C21" s="13" t="str">
        <x:v>대상·후보 BM 벡터</x:v>
      </x:c>
      <x:c r="D21" s="13" t="str">
        <x:v>산업 후보 내 BM 비교</x:v>
      </x:c>
      <x:c r="E21" s="13" t="str">
        <x:v>필터 조건 확인</x:v>
      </x:c>
      <x:c r="F21" s="13" t="str">
        <x:v>BM 후보군</x:v>
      </x:c>
    </x:row>
    <x:row r="22" ht="44" customHeight="1">
      <x:c r="A22" s="60" t="str">
        <x:v>06</x:v>
      </x:c>
      <x:c r="B22" s="60" t="str">
        <x:v>후보 점수와 순위</x:v>
      </x:c>
      <x:c r="C22" s="60" t="str">
        <x:v>동일 스키마·영역 점수</x:v>
      </x:c>
      <x:c r="D22" s="60" t="str">
        <x:v>근거 검증 + 가중평균</x:v>
      </x:c>
      <x:c r="E22" s="60" t="str">
        <x:v>순위·출처 비교</x:v>
      </x:c>
      <x:c r="F22" s="60" t="str">
        <x:v>비교기업 순위</x:v>
      </x:c>
    </x:row>
    <x:row r="23" ht="44" customHeight="1">
      <x:c r="A23" s="13" t="str">
        <x:v>07</x:v>
      </x:c>
      <x:c r="B23" s="13" t="str">
        <x:v>PER 기업 선택</x:v>
      </x:c>
      <x:c r="C23" s="13" t="str">
        <x:v>순위, 시총, 이익, 기간</x:v>
      </x:c>
      <x:c r="D23" s="13" t="str">
        <x:v>선택 기업의 PER 적격 검토</x:v>
      </x:c>
      <x:c r="E23" s="13" t="str">
        <x:v>기업 포함/제외</x:v>
      </x:c>
      <x:c r="F23" s="13" t="str">
        <x:v>최종 PER 모집단</x:v>
      </x:c>
    </x:row>
    <x:row r="24" ht="44" customHeight="1">
      <x:c r="A24" s="60" t="str">
        <x:v>08</x:v>
      </x:c>
      <x:c r="B24" s="60" t="str">
        <x:v>공모가 밴드 계산</x:v>
      </x:c>
      <x:c r="C24" s="60" t="str">
        <x:v>이익·기존/신주/구주 수</x:v>
      </x:c>
      <x:c r="D24" s="60" t="str">
        <x:v>PER × EPS × 할인 후 절사</x:v>
      </x:c>
      <x:c r="E24" s="60" t="str">
        <x:v>IPO 주식수 입력</x:v>
      </x:c>
      <x:c r="F24" s="60" t="str">
        <x:v>공모가·공모금액</x:v>
      </x:c>
    </x:row>
    <x:row r="25" ht="25" customHeight="1">
      <x:c r="A25" s="3"/>
      <x:c r="B25" s="3"/>
      <x:c r="C25" s="3"/>
      <x:c r="D25" s="3"/>
      <x:c r="E25" s="3"/>
      <x:c r="F25" s="3"/>
    </x:row>
    <x:row r="26" ht="25" customHeight="1">
      <x:c r="A26" s="3"/>
      <x:c r="B26" s="3"/>
      <x:c r="C26" s="3"/>
      <x:c r="D26" s="3"/>
      <x:c r="E26" s="3"/>
      <x:c r="F26" s="3"/>
    </x:row>
    <x:row r="27" ht="34" customHeight="1">
      <x:c r="A27" s="12" t="str">
        <x:v>순서</x:v>
      </x:c>
      <x:c r="B27" s="12" t="str">
        <x:v>사용 방법</x:v>
      </x:c>
      <x:c r="C27" s="12" t="str">
        <x:v>입력 위치</x:v>
      </x:c>
      <x:c r="D27" s="3"/>
      <x:c r="E27" s="3"/>
      <x:c r="F27" s="3"/>
    </x:row>
    <x:row r="28" ht="48" customHeight="1">
      <x:c r="A28" s="13" t="n">
        <x:v>1</x:v>
      </x:c>
      <x:c r="B28" s="13" t="str">
        <x:v>대상·가중치·IPO 설정</x:v>
      </x:c>
      <x:c r="C28" s="13" t="str">
        <x:v>01_입력설정 노란 셀</x:v>
      </x:c>
      <x:c r="D28" s="3"/>
      <x:c r="E28" s="3"/>
      <x:c r="F28" s="3"/>
    </x:row>
    <x:row r="29" ht="48" customHeight="1">
      <x:c r="A29" s="13" t="n">
        <x:v>2</x:v>
      </x:c>
      <x:c r="B29" s="13" t="str">
        <x:v>기업 입력·PER 선택</x:v>
      </x:c>
      <x:c r="C29" s="13" t="str">
        <x:v>05_기업입력 노란 셀</x:v>
      </x:c>
      <x:c r="D29" s="3"/>
      <x:c r="E29" s="3"/>
      <x:c r="F29" s="3"/>
    </x:row>
    <x:row r="30" ht="48" customHeight="1">
      <x:c r="A30" s="13" t="n">
        <x:v>3</x:v>
      </x:c>
      <x:c r="B30" s="13" t="str">
        <x:v>순위와 밴드를 확인</x:v>
      </x:c>
      <x:c r="C30" s="13" t="str">
        <x:v>02_유사도계산 / 03_PER밴드</x:v>
      </x:c>
      <x:c r="D30" s="3"/>
      <x:c r="E30" s="3"/>
      <x:c r="F30" s="3"/>
    </x:row>
    <x:row r="31" ht="48" customHeight="1">
      <x:c r="A31" s="13" t="n">
        <x:v>4</x:v>
      </x:c>
      <x:c r="B31" s="13" t="str">
        <x:v>원천 검토 후 확정 전환</x:v>
      </x:c>
      <x:c r="C31" s="13" t="str">
        <x:v>모든 관련 입력 상태도 확정</x:v>
      </x:c>
      <x:c r="D31" s="3"/>
      <x:c r="E31" s="3"/>
      <x:c r="F31" s="3"/>
    </x:row>
    <x:row r="32" ht="25" customHeight="1">
      <x:c r="A32" s="3"/>
      <x:c r="B32" s="3"/>
      <x:c r="C32" s="3"/>
      <x:c r="D32" s="3"/>
      <x:c r="E32" s="3"/>
      <x:c r="F32" s="3"/>
    </x:row>
    <x:row r="33" ht="25" customHeight="1">
      <x:c r="A33" s="3"/>
      <x:c r="B33" s="3"/>
      <x:c r="C33" s="3"/>
      <x:c r="D33" s="3"/>
      <x:c r="E33" s="3"/>
      <x:c r="F33" s="3"/>
    </x:row>
    <x:row r="34" ht="25" customHeight="1">
      <x:c r="A34" s="27" t="str">
        <x:v>노란색·파란 글씨 = 편집 입력 / 검정 = 계산 / 초록 = 다른 시트 참조</x:v>
      </x:c>
      <x:c r="B34" s="3"/>
      <x:c r="C34" s="3"/>
      <x:c r="D34" s="3"/>
      <x:c r="E34" s="3"/>
      <x:c r="F34" s="3"/>
    </x:row>
    <x:row r="35" ht="25" customHeight="1">
      <x:c r="A35" s="3"/>
      <x:c r="B35" s="3"/>
      <x:c r="C35" s="3"/>
      <x:c r="D35" s="3"/>
      <x:c r="E35" s="3"/>
      <x:c r="F35" s="3"/>
    </x:row>
    <x:row r="36" ht="25" customHeight="1">
      <x:c r="A36" s="27" t="str">
        <x:v>RAG 수집·검색·LLM 실행은 외부에서 수행하고, 이 파일은 설계·입력·점수·밴드를 관리합니다.</x:v>
      </x:c>
      <x:c r="B36" s="3"/>
      <x:c r="C36" s="3"/>
      <x:c r="D36" s="3"/>
      <x:c r="E36" s="3"/>
      <x:c r="F36" s="3"/>
    </x:row>
    <x:row r="37" ht="25" customHeight="1">
      <x:c r="A37" s="3"/>
      <x:c r="B37" s="3"/>
      <x:c r="C37" s="3"/>
      <x:c r="D37" s="3"/>
      <x:c r="E37" s="3"/>
      <x:c r="F37" s="3"/>
    </x:row>
    <x:row r="38" ht="25" customHeight="1">
      <x:c r="A38" s="27" t="str">
        <x:v>출처와 모델 가정은 08_방법과운영에 기록했습니다. 숫자가 보이더라도 예시 모드는 확정 평가가 아닙니다.</x:v>
      </x:c>
      <x:c r="B38" s="3"/>
      <x:c r="C38" s="3"/>
      <x:c r="D38" s="3"/>
      <x:c r="E38" s="3"/>
      <x:c r="F38" s="3"/>
    </x:row>
    <x:row r="39" ht="25" customHeight="1">
      <x:c r="A39" s="3"/>
      <x:c r="B39" s="3"/>
      <x:c r="C39" s="3"/>
      <x:c r="D39" s="3"/>
      <x:c r="E39" s="3"/>
      <x:c r="F39" s="3"/>
    </x:row>
    <x:row r="40" ht="25" customHeight="1">
      <x:c r="A40" s="3"/>
      <x:c r="B40" s="3"/>
      <x:c r="C40" s="3"/>
      <x:c r="D40" s="3"/>
      <x:c r="E40" s="3"/>
      <x:c r="F40" s="3"/>
    </x:row>
    <x:row r="41" ht="25" customHeight="1">
      <x:c r="A41" s="3"/>
      <x:c r="B41" s="3"/>
      <x:c r="C41" s="3"/>
      <x:c r="D41" s="3"/>
      <x:c r="E41" s="3"/>
      <x:c r="F4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58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7" hidden="0" customWidth="1"/>
    <x:col min="3" max="3" width="18" hidden="0" customWidth="1"/>
    <x:col min="4" max="4" width="64" hidden="0" customWidth="1"/>
  </x:cols>
  <x:sheetData>
    <x:row r="1" ht="25" customHeight="1">
      <x:c r="A1" s="3"/>
      <x:c r="B1" s="3"/>
      <x:c r="C1" s="3"/>
      <x:c r="D1" s="3"/>
    </x:row>
    <x:row r="2" ht="25" customHeight="1">
      <x:c r="A2" s="5" t="str">
        <x:v>입력 설정과 예시 가정</x:v>
      </x:c>
      <x:c r="B2" s="3"/>
      <x:c r="C2" s="3"/>
      <x:c r="D2" s="3"/>
    </x:row>
    <x:row r="3" ht="25" customHeight="1">
      <x:c r="A3" s="7" t="str">
        <x:v>노란 셀을 편집하세요. 예시는 검증된 기업 데이터가 아닙니다.</x:v>
      </x:c>
      <x:c r="B3" s="6"/>
      <x:c r="C3" s="6"/>
      <x:c r="D3" s="6"/>
    </x:row>
    <x:row r="4" ht="34" customHeight="1">
      <x:c r="A4" s="12" t="str">
        <x:v>항목</x:v>
      </x:c>
      <x:c r="B4" s="12" t="str">
        <x:v>입력값</x:v>
      </x:c>
      <x:c r="C4" s="12" t="str">
        <x:v>값의 성격</x:v>
      </x:c>
      <x:c r="D4" s="12" t="str">
        <x:v>적용 방식 / 확인할 사항</x:v>
      </x:c>
    </x:row>
    <x:row r="5" ht="43" customHeight="1">
      <x:c r="A5" s="3" t="str">
        <x:v>대상기업 ID</x:v>
      </x:c>
      <x:c r="B5" s="15" t="str">
        <x:v>TGT</x:v>
      </x:c>
      <x:c r="C5" s="3" t="str">
        <x:v>예시</x:v>
      </x:c>
      <x:c r="D5" s="13" t="str">
        <x:v>기업입력의 대상기업 ID와 일치해야 합니다.</x:v>
      </x:c>
    </x:row>
    <x:row r="6" ht="43" customHeight="1">
      <x:c r="A6" s="3" t="str">
        <x:v>대상기업명</x:v>
      </x:c>
      <x:c r="B6" s="15" t="str">
        <x:v>예시테크</x:v>
      </x:c>
      <x:c r="C6" s="3" t="str">
        <x:v>예시</x:v>
      </x:c>
      <x:c r="D6" s="13" t="str">
        <x:v>가상의 B2B SaaS 기업</x:v>
      </x:c>
    </x:row>
    <x:row r="7" ht="43" customHeight="1">
      <x:c r="A7" s="3" t="str">
        <x:v>선택 산업</x:v>
      </x:c>
      <x:c r="B7" s="15" t="str">
        <x:v>B2B 업무용 SaaS</x:v>
      </x:c>
      <x:c r="C7" s="3" t="str">
        <x:v>예시</x:v>
      </x:c>
      <x:c r="D7" s="13" t="str">
        <x:v>산업명·설명만 산업 벡터에 포함</x:v>
      </x:c>
    </x:row>
    <x:row r="8" ht="43" customHeight="1">
      <x:c r="A8" s="3" t="str">
        <x:v>평가기준일</x:v>
      </x:c>
      <x:c r="B8" s="19" t="d">
        <x:v>2026-10-08T00:00:00.000Z</x:v>
      </x:c>
      <x:c r="C8" s="3" t="str">
        <x:v>예시</x:v>
      </x:c>
      <x:c r="D8" s="13" t="str">
        <x:v>비교기업 시가총액의 기준일. 실제 적용일로 교체</x:v>
      </x:c>
    </x:row>
    <x:row r="9" ht="43" customHeight="1">
      <x:c r="A9" s="3" t="str">
        <x:v>이익 비교기간</x:v>
      </x:c>
      <x:c r="B9" s="15" t="str">
        <x:v>FY2025</x:v>
      </x:c>
      <x:c r="C9" s="3" t="str">
        <x:v>예시</x:v>
      </x:c>
      <x:c r="D9" s="13" t="str">
        <x:v>모든 기업의 이익 기간을 통일. TTM 사용 시 기준일도 일치</x:v>
      </x:c>
    </x:row>
    <x:row r="10" ht="43" customHeight="1">
      <x:c r="A10" s="3" t="str">
        <x:v>통화</x:v>
      </x:c>
      <x:c r="B10" s="15" t="str">
        <x:v>KRW</x:v>
      </x:c>
      <x:c r="C10" s="3" t="str">
        <x:v>예시</x:v>
      </x:c>
      <x:c r="D10" s="13" t="str">
        <x:v>이 파일의 금액 입력 단위는 원. 백만원 단위를 직접 넣지 않음</x:v>
      </x:c>
    </x:row>
    <x:row r="11" ht="43" customHeight="1">
      <x:c r="A11" s="3" t="str">
        <x:v>재무제표 기준</x:v>
      </x:c>
      <x:c r="B11" s="15" t="str">
        <x:v>CFS</x:v>
      </x:c>
      <x:c r="C11" s="3" t="str">
        <x:v>예시</x:v>
      </x:c>
      <x:c r="D11" s="13" t="str">
        <x:v>CFS 연결 / OFS 별도. 대상기업과 비교기업의 기준 일치</x:v>
      </x:c>
    </x:row>
    <x:row r="12" ht="43" customHeight="1">
      <x:c r="A12" s="3" t="str">
        <x:v>계산 모드</x:v>
      </x:c>
      <x:c r="B12" s="15" t="str">
        <x:v>예시</x:v>
      </x:c>
      <x:c r="C12" s="3" t="str">
        <x:v>사용자 선택</x:v>
      </x:c>
      <x:c r="D12" s="13" t="str">
        <x:v>확정 모드에서는 근거·재무·대상기업 입력 상태가 모두 확정이어야 함</x:v>
      </x:c>
    </x:row>
    <x:row r="13" ht="43" customHeight="1">
      <x:c r="A13" s="3"/>
      <x:c r="B13" s="3"/>
      <x:c r="C13" s="3"/>
      <x:c r="D13" s="13"/>
    </x:row>
    <x:row r="14" ht="43" customHeight="1">
      <x:c r="A14" s="3"/>
      <x:c r="B14" s="3"/>
      <x:c r="C14" s="3"/>
      <x:c r="D14" s="13"/>
    </x:row>
    <x:row r="15" ht="43" customHeight="1">
      <x:c r="A15" s="3" t="str">
        <x:v>비즈니스모델 가중치</x:v>
      </x:c>
      <x:c r="B15" s="17" t="n">
        <x:v>0.4</x:v>
      </x:c>
      <x:c r="C15" s="3" t="str">
        <x:v>예시</x:v>
      </x:c>
      <x:c r="D15" s="13" t="str">
        <x:v>수익구조·제품·고객·채널의 의미 유사도</x:v>
      </x:c>
    </x:row>
    <x:row r="16" ht="43" customHeight="1">
      <x:c r="A16" s="3" t="str">
        <x:v>성장성 가중치</x:v>
      </x:c>
      <x:c r="B16" s="17" t="n">
        <x:v>0.25</x:v>
      </x:c>
      <x:c r="C16" s="3" t="str">
        <x:v>예시</x:v>
      </x:c>
      <x:c r="D16" s="13" t="str">
        <x:v>최근 매출 성장률의 대상기업과의 근접도</x:v>
      </x:c>
    </x:row>
    <x:row r="17" ht="43" customHeight="1">
      <x:c r="A17" s="3" t="str">
        <x:v>리스크 가중치</x:v>
      </x:c>
      <x:c r="B17" s="17" t="n">
        <x:v>0.2</x:v>
      </x:c>
      <x:c r="C17" s="3" t="str">
        <x:v>예시</x:v>
      </x:c>
      <x:c r="D17" s="13" t="str">
        <x:v>리스크 구조의 의미 유사도. 안전성 또는 우량도 점수가 아님</x:v>
      </x:c>
    </x:row>
    <x:row r="18" ht="43" customHeight="1">
      <x:c r="A18" s="3" t="str">
        <x:v>재무 가중치</x:v>
      </x:c>
      <x:c r="B18" s="17" t="n">
        <x:v>0.15</x:v>
      </x:c>
      <x:c r="C18" s="3" t="str">
        <x:v>예시</x:v>
      </x:c>
      <x:c r="D18" s="13" t="str">
        <x:v>영업이익률·부채/자산 비율의 근접도</x:v>
      </x:c>
    </x:row>
    <x:row r="19" ht="43" customHeight="1">
      <x:c r="A19" s="3" t="str">
        <x:v>가중치 합계</x:v>
      </x:c>
      <x:c r="B19" s="18" t="n">
        <x:f>SUM(B15:B18)</x:f>
        <x:v>1</x:v>
      </x:c>
      <x:c r="C19" s="3" t="str">
        <x:v>계산</x:v>
      </x:c>
      <x:c r="D19" s="13" t="str">
        <x:v>100%가 되어야 점수 산출</x:v>
      </x:c>
    </x:row>
    <x:row r="20" ht="43" customHeight="1">
      <x:c r="A20" s="3" t="str">
        <x:v>가중치 상태</x:v>
      </x:c>
      <x:c r="B20" s="16" t="str">
        <x:f>IF(AND(COUNT(B15:B18)=4,MIN(B15:B18)&gt;=0,ABS(B19-1)&lt;0.000001),"정상","가중치 확인")</x:f>
        <x:v>정상</x:v>
      </x:c>
      <x:c r="C20" s="3" t="str">
        <x:v>계산</x:v>
      </x:c>
      <x:c r="D20" s="13" t="str">
        <x:v>음수·빈칸·합계 오류 시 점수 계산 중단</x:v>
      </x:c>
    </x:row>
    <x:row r="21" ht="43" customHeight="1">
      <x:c r="A21" s="3"/>
      <x:c r="B21" s="3"/>
      <x:c r="C21" s="3"/>
      <x:c r="D21" s="13"/>
    </x:row>
    <x:row r="22" ht="43" customHeight="1">
      <x:c r="A22" s="3"/>
      <x:c r="B22" s="3"/>
      <x:c r="C22" s="3"/>
      <x:c r="D22" s="13"/>
    </x:row>
    <x:row r="23" ht="43" customHeight="1">
      <x:c r="A23" s="3" t="str">
        <x:v>산업 코사인 임계값</x:v>
      </x:c>
      <x:c r="B23" s="15" t="n">
        <x:v>0.7</x:v>
      </x:c>
      <x:c r="C23" s="3" t="str">
        <x:v>예시</x:v>
      </x:c>
      <x:c r="D23" s="13" t="str">
        <x:v>원시 코사인 [-1, 1]. 임계값 이상이며 상위 N개</x:v>
      </x:c>
    </x:row>
    <x:row r="24" ht="43" customHeight="1">
      <x:c r="A24" s="3" t="str">
        <x:v>산업 후보 상한 N</x:v>
      </x:c>
      <x:c r="B24" s="15" t="n">
        <x:v>100</x:v>
      </x:c>
      <x:c r="C24" s="3" t="str">
        <x:v>예시</x:v>
      </x:c>
      <x:c r="D24" s="13" t="str">
        <x:v>실제 서비스용 설정. 예시 기업은 8개</x:v>
      </x:c>
    </x:row>
    <x:row r="25" ht="43" customHeight="1">
      <x:c r="A25" s="3" t="str">
        <x:v>BM 코사인 임계값</x:v>
      </x:c>
      <x:c r="B25" s="15" t="n">
        <x:v>0.75</x:v>
      </x:c>
      <x:c r="C25" s="3" t="str">
        <x:v>예시</x:v>
      </x:c>
      <x:c r="D25" s="13" t="str">
        <x:v>산업 필터 통과 후보에만 적용</x:v>
      </x:c>
    </x:row>
    <x:row r="26" ht="43" customHeight="1">
      <x:c r="A26" s="3" t="str">
        <x:v>BM 후보 상한 N</x:v>
      </x:c>
      <x:c r="B26" s="15" t="n">
        <x:v>30</x:v>
      </x:c>
      <x:c r="C26" s="3" t="str">
        <x:v>예시</x:v>
      </x:c>
      <x:c r="D26" s="13" t="str">
        <x:v>산업 통과 기업 내 BM 유사도 순. 동점은 원천 행 순서</x:v>
      </x:c>
    </x:row>
    <x:row r="27" ht="43" customHeight="1">
      <x:c r="A27" s="3" t="str">
        <x:v>최소 PER 비교기업 수</x:v>
      </x:c>
      <x:c r="B27" s="15" t="n">
        <x:v>3</x:v>
      </x:c>
      <x:c r="C27" s="3" t="str">
        <x:v>예시</x:v>
      </x:c>
      <x:c r="D27" s="13" t="str">
        <x:v>미달 시 밴드 표시 중단. 운영 정책으로 확정 필요</x:v>
      </x:c>
    </x:row>
    <x:row r="28" ht="43" customHeight="1">
      <x:c r="A28" s="3" t="str">
        <x:v>허용 PER 상한</x:v>
      </x:c>
      <x:c r="B28" s="15" t="n">
        <x:v>60</x:v>
      </x:c>
      <x:c r="C28" s="3" t="str">
        <x:v>예시</x:v>
      </x:c>
      <x:c r="D28" s="13" t="str">
        <x:v>초과 기업은 PER에서 제외. 상한은 경제적 근거를 갖고 조정</x:v>
      </x:c>
    </x:row>
    <x:row r="29" ht="43" customHeight="1">
      <x:c r="A29" s="3" t="str">
        <x:v>하단 할인율 (최대)</x:v>
      </x:c>
      <x:c r="B29" s="17" t="n">
        <x:v>0.3</x:v>
      </x:c>
      <x:c r="C29" s="3" t="str">
        <x:v>예시</x:v>
      </x:c>
      <x:c r="D29" s="13" t="str">
        <x:v>하단 = Q1 PER × EPS × (1 - 최대 할인율)</x:v>
      </x:c>
    </x:row>
    <x:row r="30" ht="43" customHeight="1">
      <x:c r="A30" s="3" t="str">
        <x:v>상단 할인율 (최소)</x:v>
      </x:c>
      <x:c r="B30" s="17" t="n">
        <x:v>0.15</x:v>
      </x:c>
      <x:c r="C30" s="3" t="str">
        <x:v>예시</x:v>
      </x:c>
      <x:c r="D30" s="13" t="str">
        <x:v>상단 = Q3 PER × EPS × (1 - 최소 할인율)</x:v>
      </x:c>
    </x:row>
    <x:row r="31" ht="43" customHeight="1">
      <x:c r="A31" s="3" t="str">
        <x:v>가격 절사 단위 (원)</x:v>
      </x:c>
      <x:c r="B31" s="15" t="n">
        <x:v>100</x:v>
      </x:c>
      <x:c r="C31" s="3" t="str">
        <x:v>예시</x:v>
      </x:c>
      <x:c r="D31" s="13" t="str">
        <x:v>하단·상단 모두 이 단위로 내림</x:v>
      </x:c>
    </x:row>
    <x:row r="32" ht="43" customHeight="1">
      <x:c r="A32" s="3" t="str">
        <x:v>재무 비율 차이 허용폭</x:v>
      </x:c>
      <x:c r="B32" s="17" t="n">
        <x:v>0.2</x:v>
      </x:c>
      <x:c r="C32" s="3" t="str">
        <x:v>예시</x:v>
      </x:c>
      <x:c r="D32" s="13" t="str">
        <x:v>20%p 차이부터 유사도 0. 두 재무지표에 공통 적용</x:v>
      </x:c>
    </x:row>
    <x:row r="33" ht="43" customHeight="1">
      <x:c r="A33" s="3" t="str">
        <x:v>성장률 차이 허용폭</x:v>
      </x:c>
      <x:c r="B33" s="17" t="n">
        <x:v>0.3</x:v>
      </x:c>
      <x:c r="C33" s="3" t="str">
        <x:v>예시</x:v>
      </x:c>
      <x:c r="D33" s="13" t="str">
        <x:v>30%p 차이부터 성장성 유사도 0</x:v>
      </x:c>
    </x:row>
    <x:row r="34" ht="43" customHeight="1">
      <x:c r="A34" s="3"/>
      <x:c r="B34" s="3"/>
      <x:c r="C34" s="3"/>
      <x:c r="D34" s="13"/>
    </x:row>
    <x:row r="35" ht="43" customHeight="1">
      <x:c r="A35" s="3"/>
      <x:c r="B35" s="3"/>
      <x:c r="C35" s="3"/>
      <x:c r="D35" s="13"/>
    </x:row>
    <x:row r="36" ht="43" customHeight="1">
      <x:c r="A36" s="3" t="str">
        <x:v>청크 크기 (토큰)</x:v>
      </x:c>
      <x:c r="B36" s="15" t="n">
        <x:v>800</x:v>
      </x:c>
      <x:c r="C36" s="3" t="str">
        <x:v>설계 예시</x:v>
      </x:c>
      <x:c r="D36" s="13" t="str">
        <x:v>표·제목·페이지를 보존하고 문맥 단위로 분할</x:v>
      </x:c>
    </x:row>
    <x:row r="37" ht="43" customHeight="1">
      <x:c r="A37" s="3" t="str">
        <x:v>청크 중복 (토큰)</x:v>
      </x:c>
      <x:c r="B37" s="15" t="n">
        <x:v>120</x:v>
      </x:c>
      <x:c r="C37" s="3" t="str">
        <x:v>설계 예시</x:v>
      </x:c>
      <x:c r="D37" s="13" t="str">
        <x:v>청크 크기보다 작아야 함</x:v>
      </x:c>
    </x:row>
    <x:row r="38" ht="43" customHeight="1">
      <x:c r="A38" s="3" t="str">
        <x:v>검색 후보 top_k</x:v>
      </x:c>
      <x:c r="B38" s="15" t="n">
        <x:v>8</x:v>
      </x:c>
      <x:c r="C38" s="3" t="str">
        <x:v>설계 예시</x:v>
      </x:c>
      <x:c r="D38" s="13" t="str">
        <x:v>회사·기간·영역 필터 후 벡터와 키워드 검색</x:v>
      </x:c>
    </x:row>
    <x:row r="39" ht="43" customHeight="1">
      <x:c r="A39" s="3" t="str">
        <x:v>재정렬 후 근거 수</x:v>
      </x:c>
      <x:c r="B39" s="15" t="n">
        <x:v>5</x:v>
      </x:c>
      <x:c r="C39" s="3" t="str">
        <x:v>설계 예시</x:v>
      </x:c>
      <x:c r="D39" s="13" t="str">
        <x:v>top_k 이하. 필드별 근거를 확보</x:v>
      </x:c>
    </x:row>
    <x:row r="40" ht="43" customHeight="1">
      <x:c r="A40" s="3" t="str">
        <x:v>LLM temperature</x:v>
      </x:c>
      <x:c r="B40" s="15" t="n">
        <x:v>0</x:v>
      </x:c>
      <x:c r="C40" s="3" t="str">
        <x:v>설계 예시</x:v>
      </x:c>
      <x:c r="D40" s="13" t="str">
        <x:v>근거 기반 구조화 추출. 결정적 결과를 보장하지 않음</x:v>
      </x:c>
    </x:row>
    <x:row r="41" ht="43" customHeight="1">
      <x:c r="A41" s="3" t="str">
        <x:v>임베딩 모델·버전</x:v>
      </x:c>
      <x:c r="B41" s="15" t="str">
        <x:v>미선정</x:v>
      </x:c>
      <x:c r="C41" s="3" t="str">
        <x:v>미확정</x:v>
      </x:c>
      <x:c r="D41" s="13" t="str">
        <x:v>산업·BM·리스크 벡터마다 같은 모델/차원을 유지</x:v>
      </x:c>
    </x:row>
    <x:row r="42" ht="43" customHeight="1">
      <x:c r="A42" s="3" t="str">
        <x:v>LLM 모델·버전</x:v>
      </x:c>
      <x:c r="B42" s="15" t="str">
        <x:v>미선정</x:v>
      </x:c>
      <x:c r="C42" s="3" t="str">
        <x:v>미확정</x:v>
      </x:c>
      <x:c r="D42" s="13" t="str">
        <x:v>JSON 스키마 검증·재시도 정책과 함께 확정</x:v>
      </x:c>
    </x:row>
    <x:row r="43" ht="43" customHeight="1">
      <x:c r="A43" s="3" t="str">
        <x:v>프로필/점수 버전</x:v>
      </x:c>
      <x:c r="B43" s="15" t="str">
        <x:v>v0.1-example</x:v>
      </x:c>
      <x:c r="C43" s="3" t="str">
        <x:v>설계 예시</x:v>
      </x:c>
      <x:c r="D43" s="13" t="str">
        <x:v>문서 hash·프롬프트·실행 ID와 함께 저장</x:v>
      </x:c>
    </x:row>
    <x:row r="44" ht="43" customHeight="1">
      <x:c r="A44" s="3" t="str">
        <x:v>최소 근거 충족률</x:v>
      </x:c>
      <x:c r="B44" s="17" t="n">
        <x:v>0.8</x:v>
      </x:c>
      <x:c r="C44" s="3" t="str">
        <x:v>예시</x:v>
      </x:c>
      <x:c r="D44" s="13" t="str">
        <x:v>비교용 필수 필드 중 근거가 있는 필드 비율. LLM 확률이 아님</x:v>
      </x:c>
    </x:row>
    <x:row r="45" ht="43" customHeight="1">
      <x:c r="A45" s="3"/>
      <x:c r="B45" s="3"/>
      <x:c r="C45" s="3"/>
      <x:c r="D45" s="13"/>
    </x:row>
    <x:row r="46" ht="43" customHeight="1">
      <x:c r="A46" s="3" t="str">
        <x:v>귀속 당기순이익 (원)</x:v>
      </x:c>
      <x:c r="B46" s="20" t="n">
        <x:v>12000000000</x:v>
      </x:c>
      <x:c r="C46" s="3" t="str">
        <x:v>예시</x:v>
      </x:c>
      <x:c r="D46" s="13" t="str">
        <x:v>연결 기준이면 지배주주 보통주 귀속 이익. 선택기간과 일치</x:v>
      </x:c>
    </x:row>
    <x:row r="47" ht="43" customHeight="1">
      <x:c r="A47" s="3" t="str">
        <x:v>IPO 전 기준 주식수 (주)</x:v>
      </x:c>
      <x:c r="B47" s="20" t="n">
        <x:v>10000000</x:v>
      </x:c>
      <x:c r="C47" s="3" t="str">
        <x:v>예시</x:v>
      </x:c>
      <x:c r="D47" s="13" t="str">
        <x:v>평가에 사용할 보통주 수. 자기주식·주식종류 처리 확인</x:v>
      </x:c>
    </x:row>
    <x:row r="48" ht="43" customHeight="1">
      <x:c r="A48" s="3" t="str">
        <x:v>신주 발행 수 (주)</x:v>
      </x:c>
      <x:c r="B48" s="20" t="n">
        <x:v>2000000</x:v>
      </x:c>
      <x:c r="C48" s="3" t="str">
        <x:v>예시</x:v>
      </x:c>
      <x:c r="D48" s="13" t="str">
        <x:v>공모로 새로 발행하는 주식만 포함</x:v>
      </x:c>
    </x:row>
    <x:row r="49" ht="43" customHeight="1">
      <x:c r="A49" s="3" t="str">
        <x:v>구주 매출 수 (주)</x:v>
      </x:c>
      <x:c r="B49" s="20" t="n">
        <x:v>500000</x:v>
      </x:c>
      <x:c r="C49" s="3" t="str">
        <x:v>예시</x:v>
      </x:c>
      <x:c r="D49" s="13" t="str">
        <x:v>기존 주주의 매각분. IPO 후 주식수 분모에 더하지 않음</x:v>
      </x:c>
    </x:row>
    <x:row r="50" ht="43" customHeight="1">
      <x:c r="A50" s="3" t="str">
        <x:v>추가 희석 주식수 (주)</x:v>
      </x:c>
      <x:c r="B50" s="20" t="n">
        <x:v>0</x:v>
      </x:c>
      <x:c r="C50" s="3" t="str">
        <x:v>예시</x:v>
      </x:c>
      <x:c r="D50" s="13" t="str">
        <x:v>확정적으로 반영할 전환·옵션 등. 신주와 중복 금지</x:v>
      </x:c>
    </x:row>
    <x:row r="51" ht="43" customHeight="1">
      <x:c r="A51" s="3" t="str">
        <x:v>대상기업 이익 검증 상태</x:v>
      </x:c>
      <x:c r="B51" s="15" t="str">
        <x:v>예시</x:v>
      </x:c>
      <x:c r="C51" s="3" t="str">
        <x:v>입력 상태</x:v>
      </x:c>
      <x:c r="D51" s="13" t="str">
        <x:v>확정: 원천·기간·정상화 조정 검토 완료</x:v>
      </x:c>
    </x:row>
    <x:row r="52" ht="43" customHeight="1">
      <x:c r="A52" s="3" t="str">
        <x:v>대상기업 주식수 검증 상태</x:v>
      </x:c>
      <x:c r="B52" s="15" t="str">
        <x:v>예시</x:v>
      </x:c>
      <x:c r="C52" s="3" t="str">
        <x:v>입력 상태</x:v>
      </x:c>
      <x:c r="D52" s="13" t="str">
        <x:v>확정: IPO 전 수량·신주·구주·희석 처리 검토 완료</x:v>
      </x:c>
    </x:row>
    <x:row r="53" ht="43" customHeight="1">
      <x:c r="A53" s="3" t="str">
        <x:v>대상기업 원천 문서</x:v>
      </x:c>
      <x:c r="B53" s="15" t="str">
        <x:v>가상 입력 / 실공시 없음</x:v>
      </x:c>
      <x:c r="C53" s="3" t="str">
        <x:v>예시</x:v>
      </x:c>
      <x:c r="D53" s="13" t="str">
        <x:v>실제 적용 시 공시 URL·페이지·회수일 기록</x:v>
      </x:c>
    </x:row>
    <x:row r="54" ht="43" customHeight="1">
      <x:c r="A54" s="3" t="str">
        <x:v>정상화 이익 조정액 (원)</x:v>
      </x:c>
      <x:c r="B54" s="20" t="n">
        <x:v>0</x:v>
      </x:c>
      <x:c r="C54" s="3" t="str">
        <x:v>예시</x:v>
      </x:c>
      <x:c r="D54" s="13" t="str">
        <x:v>일회성 비용 제거는 +, 일회성 이익 제거는 -. 세후·귀속 기준</x:v>
      </x:c>
    </x:row>
    <x:row r="55" ht="43" customHeight="1">
      <x:c r="A55" s="3" t="str">
        <x:v>정상화 조정 근거</x:v>
      </x:c>
      <x:c r="B55" s="15" t="str">
        <x:v>예시: 조정 없음</x:v>
      </x:c>
      <x:c r="C55" s="3" t="str">
        <x:v>예시</x:v>
      </x:c>
      <x:c r="D55" s="13" t="str">
        <x:v>0이어도 확인. 실제 조정은 재무 검토자가 근거와 함께 입력</x:v>
      </x:c>
    </x:row>
    <x:row r="56" ht="25" customHeight="1">
      <x:c r="A56" s="3"/>
      <x:c r="B56" s="3"/>
      <x:c r="C56" s="3"/>
      <x:c r="D56" s="3"/>
    </x:row>
    <x:row r="57" ht="25" customHeight="1">
      <x:c r="A57" s="3"/>
      <x:c r="B57" s="3"/>
      <x:c r="C57" s="3"/>
      <x:c r="D57" s="3"/>
    </x:row>
    <x:row r="58" ht="25" customHeight="1">
      <x:c r="A58" s="3"/>
      <x:c r="B58" s="3"/>
      <x:c r="C58" s="3"/>
      <x:c r="D58" s="3"/>
    </x:row>
    <x:row r="59" ht="25" customHeight="1">
      <x:c r="A59" s="3"/>
      <x:c r="B59" s="3"/>
      <x:c r="C59" s="3"/>
      <x:c r="D59" s="3"/>
    </x:row>
    <x:row r="60" ht="25" customHeight="1">
      <x:c r="A60" s="3"/>
      <x:c r="B60" s="3"/>
      <x:c r="C60" s="3"/>
      <x:c r="D60" s="3"/>
    </x:row>
  </x:sheetData>
  <x:conditionalFormatting sqref="B20:B20">
    <x:cfRule type="containsText" dxfId="0" priority="1" operator="containsText" text="확인"/>
  </x:conditionalFormatting>
  <x:dataValidations count="17">
    <x:dataValidation type="list" sqref="B12">
      <x:formula1>"예시,확정"</x:formula1>
    </x:dataValidation>
    <x:dataValidation type="list" sqref="B11">
      <x:formula1>"CFS,OFS"</x:formula1>
    </x:dataValidation>
    <x:dataValidation type="list" sqref="B51:B52">
      <x:formula1>"예시,미확인,확정"</x:formula1>
    </x:dataValidation>
    <x:dataValidation type="decimal" operator="between" sqref="B15:B18">
      <x:formula1>0</x:formula1>
      <x:formula2>1</x:formula2>
    </x:dataValidation>
    <x:dataValidation type="decimal" operator="between" sqref="B23">
      <x:formula1>-1</x:formula1>
      <x:formula2>1</x:formula2>
    </x:dataValidation>
    <x:dataValidation type="decimal" operator="between" sqref="B25">
      <x:formula1>-1</x:formula1>
      <x:formula2>1</x:formula2>
    </x:dataValidation>
    <x:dataValidation type="decimal" operator="between" sqref="B29:B30">
      <x:formula1>0</x:formula1>
      <x:formula2>0.99</x:formula2>
    </x:dataValidation>
    <x:dataValidation type="whole" operator="between" sqref="B47:B50">
      <x:formula1>0</x:formula1>
      <x:formula2>100000000000</x:formula2>
    </x:dataValidation>
    <x:dataValidation type="whole" operator="between" sqref="B24">
      <x:formula1>1</x:formula1>
      <x:formula2>100000</x:formula2>
    </x:dataValidation>
    <x:dataValidation type="whole" operator="between" sqref="B26">
      <x:formula1>1</x:formula1>
      <x:formula2>100000</x:formula2>
    </x:dataValidation>
    <x:dataValidation type="whole" operator="between" sqref="B27">
      <x:formula1>1</x:formula1>
      <x:formula2>100000</x:formula2>
    </x:dataValidation>
    <x:dataValidation type="whole" operator="between" sqref="B31">
      <x:formula1>1</x:formula1>
      <x:formula2>100000</x:formula2>
    </x:dataValidation>
    <x:dataValidation type="whole" operator="between" sqref="B36">
      <x:formula1>1</x:formula1>
      <x:formula2>100000</x:formula2>
    </x:dataValidation>
    <x:dataValidation type="whole" operator="between" sqref="B38">
      <x:formula1>1</x:formula1>
      <x:formula2>100000</x:formula2>
    </x:dataValidation>
    <x:dataValidation type="whole" operator="between" sqref="B39">
      <x:formula1>1</x:formula1>
      <x:formula2>100000</x:formula2>
    </x:dataValidation>
    <x:dataValidation type="decimal" operator="between" sqref="B44">
      <x:formula1>0</x:formula1>
      <x:formula2>1</x:formula2>
    </x:dataValidation>
    <x:dataValidation type="decimal" operator="between" sqref="B32:B33">
      <x:formula1>0.00001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3" hidden="0" customWidth="1"/>
    <x:col min="4" max="4" width="13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5" hidden="0" customWidth="1"/>
    <x:col min="15" max="15" width="12" hidden="0" customWidth="1"/>
    <x:col min="16" max="16" width="17" hidden="0" customWidth="1"/>
    <x:col min="17" max="17" width="2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5" t="str">
        <x:v>유사도 계산과 순위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5" customHeight="1">
      <x:c r="A3" s="7" t="str">
        <x:v>입력 순서는 고정하고 아래 순위표가 자동 정렬됩니다. 점수는 투자 매력도가 아닌 대상기업과의 유사도입니다.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4" customHeight="1">
      <x:c r="A5" s="12" t="str">
        <x:v>기업 ID</x:v>
      </x:c>
      <x:c r="B5" s="12" t="str">
        <x:v>기업명</x:v>
      </x:c>
      <x:c r="C5" s="12" t="str">
        <x:v>산업 코사인</x:v>
      </x:c>
      <x:c r="D5" s="12" t="str">
        <x:v>산업 순서</x:v>
      </x:c>
      <x:c r="E5" s="12" t="str">
        <x:v>1차 통과</x:v>
      </x:c>
      <x:c r="F5" s="12" t="str">
        <x:v>BM 코사인</x:v>
      </x:c>
      <x:c r="G5" s="12" t="str">
        <x:v>BM 순서</x:v>
      </x:c>
      <x:c r="H5" s="12" t="str">
        <x:v>2차 통과</x:v>
      </x:c>
      <x:c r="I5" s="12" t="str">
        <x:v>BM 점수</x:v>
      </x:c>
      <x:c r="J5" s="12" t="str">
        <x:v>성장 점수</x:v>
      </x:c>
      <x:c r="K5" s="12" t="str">
        <x:v>리스크 점수</x:v>
      </x:c>
      <x:c r="L5" s="12" t="str">
        <x:v>재무 점수</x:v>
      </x:c>
      <x:c r="M5" s="12" t="str">
        <x:v>근거 충족률</x:v>
      </x:c>
      <x:c r="N5" s="12" t="str">
        <x:v>가중 점수</x:v>
      </x:c>
      <x:c r="O5" s="12" t="str">
        <x:v>최종 순위</x:v>
      </x:c>
      <x:c r="P5" s="12" t="str">
        <x:v>근거 상태</x:v>
      </x:c>
      <x:c r="Q5" s="12" t="str">
        <x:v>처리 결과</x:v>
      </x:c>
    </x:row>
    <x:row r="6" ht="37" customHeight="1">
      <x:c r="A6" s="29" t="str">
        <x:f>IF(ISBLANK('05_기업입력'!A7),"",'05_기업입력'!A7)</x:f>
        <x:v>P01</x:v>
      </x:c>
      <x:c r="B6" s="29" t="str">
        <x:f>IF(ISBLANK('05_기업입력'!B7),"",'05_기업입력'!B7)</x:f>
        <x:v>가상 알파</x:v>
      </x:c>
      <x:c r="C6" s="30" t="n">
        <x:f>IF(ISBLANK('05_기업입력'!D7),"",'05_기업입력'!D7)</x:f>
        <x:v>0.94</x:v>
      </x:c>
      <x:c r="D6" s="32" t="n">
        <x:f>IF(ISNUMBER(C6),COUNTIFS($C$6:$C$13,"&gt;"&amp;C6)+COUNTIFS($C$6:C6,C6),"n.a.")</x:f>
        <x:v>1</x:v>
      </x:c>
      <x:c r="E6" s="33" t="n">
        <x:f>IF(AND(ISNUMBER(C6),C6&gt;=-1,C6&lt;=1,ISNUMBER('01_입력설정'!$B$23),ISNUMBER('01_입력설정'!$B$24),C6&gt;='01_입력설정'!$B$23,D6&lt;='01_입력설정'!$B$24,A6&lt;&gt;'01_입력설정'!$B$5,COUNTIFS($A$6:$A$13,A6)=1),1,0)</x:f>
        <x:v>1</x:v>
      </x:c>
      <x:c r="F6" s="30" t="n">
        <x:f>IF(ISBLANK('05_기업입력'!E7),"",'05_기업입력'!E7)</x:f>
        <x:v>0.93</x:v>
      </x:c>
      <x:c r="G6" s="16" t="n">
        <x:f>IF(AND(E6=1,ISNUMBER(F6)),COUNTIFS($E$6:$E$13,1,$F$6:$F$13,"&gt;"&amp;F6)+COUNTIFS($E$6:E6,1,$F$6:F6,F6),"n.a.")</x:f>
        <x:v>1</x:v>
      </x:c>
      <x:c r="H6" s="29" t="n">
        <x:f>IF(AND(E6=1,ISNUMBER(F6),F6&gt;=-1,F6&lt;=1,ISNUMBER('01_입력설정'!$B$25),ISNUMBER('01_입력설정'!$B$26),F6&gt;='01_입력설정'!$B$25,G6&lt;='01_입력설정'!$B$26),1,0)</x:f>
        <x:v>1</x:v>
      </x:c>
      <x:c r="I6" s="34" t="n">
        <x:f>IF(H6=1,100*MAX(0,MIN(1,F6)),"n.a.")</x:f>
        <x:v>93</x:v>
      </x:c>
      <x:c r="J6" s="35" t="n">
        <x:f>IF(AND(H6=1,ISNUMBER('05_기업입력'!F7),ISNUMBER('05_기업입력'!$F$6),ISNUMBER('01_입력설정'!$B$33),'01_입력설정'!$B$33&gt;0),100*MAX(0,1-ABS('05_기업입력'!F7-'05_기업입력'!$F$6)/'01_입력설정'!$B$33),"n.a.")</x:f>
        <x:v>89.99999999999999</x:v>
      </x:c>
      <x:c r="K6" s="35" t="n">
        <x:f>IF(AND(H6=1,ISNUMBER('05_기업입력'!G7),'05_기업입력'!G7&gt;=-1,'05_기업입력'!G7&lt;=1),100*MAX(0,MIN(1,'05_기업입력'!G7)),"n.a.")</x:f>
        <x:v>90</x:v>
      </x:c>
      <x:c r="L6" s="35" t="n">
        <x:f>IF(AND(H6=1,COUNT('05_기업입력'!H7:I7)=2,COUNT('05_기업입력'!$H$6:$I$6)=2,ISNUMBER('01_입력설정'!$B$32),'01_입력설정'!$B$32&gt;0),50*(MAX(0,1-ABS('05_기업입력'!H7-'05_기업입력'!$H$6)/'01_입력설정'!$B$32)+MAX(0,1-ABS('05_기업입력'!I7-'05_기업입력'!$I$6)/'01_입력설정'!$B$32)),"n.a.")</x:f>
        <x:v>79.99999999999999</x:v>
      </x:c>
      <x:c r="M6" s="36" t="n">
        <x:f>IF(ISBLANK('05_기업입력'!J7),"",'05_기업입력'!J7)</x:f>
        <x:v>0.95</x:v>
      </x:c>
      <x:c r="N6" s="35" t="n">
        <x:f>IF(AND(H6=1,COUNT(I6:L6)=4,ISNUMBER(M6),M6&gt;='01_입력설정'!$B$44,M6&lt;=1,ISNUMBER('01_입력설정'!$B$44),'01_입력설정'!$B$20="정상",'05_기업입력'!$A$6='01_입력설정'!$B$5,'05_기업입력'!$J$6&gt;='01_입력설정'!$B$44,OR('01_입력설정'!$B$12="예시",AND('01_입력설정'!$B$12="확정",P6="확정",'05_기업입력'!$K$6="확정"))),I6*'01_입력설정'!$B$15+J6*'01_입력설정'!$B$16+K6*'01_입력설정'!$B$17+L6*'01_입력설정'!$B$18,"n.a.")</x:f>
        <x:v>89.7</x:v>
      </x:c>
      <x:c r="O6" s="16" t="n">
        <x:f>IF(ISNUMBER(N6),COUNTIFS($N$6:$N$13,"&gt;"&amp;N6)+COUNTIFS($N$6:N6,N6),"n.a.")</x:f>
        <x:v>1</x:v>
      </x:c>
      <x:c r="P6" s="29" t="str">
        <x:f>IF(ISBLANK('05_기업입력'!K7),"",'05_기업입력'!K7)</x:f>
        <x:v>예시</x:v>
      </x:c>
      <x:c r="Q6" s="16" t="str">
        <x:f>IF(E6=0,"산업 제외 / 입력 확인",IF(H6=0,"BM 제외 / 입력 확인",IF(ISNUMBER(N6),"순위 산출","근거·가중치·필드 확인")))</x:f>
        <x:v>순위 산출</x:v>
      </x:c>
    </x:row>
    <x:row r="7" ht="37" customHeight="1">
      <x:c r="A7" s="29" t="str">
        <x:f>IF(ISBLANK('05_기업입력'!A8),"",'05_기업입력'!A8)</x:f>
        <x:v>P02</x:v>
      </x:c>
      <x:c r="B7" s="29" t="str">
        <x:f>IF(ISBLANK('05_기업입력'!B8),"",'05_기업입력'!B8)</x:f>
        <x:v>가상 베타</x:v>
      </x:c>
      <x:c r="C7" s="30" t="n">
        <x:f>IF(ISBLANK('05_기업입력'!D8),"",'05_기업입력'!D8)</x:f>
        <x:v>0.89</x:v>
      </x:c>
      <x:c r="D7" s="32" t="n">
        <x:f>IF(ISNUMBER(C7),COUNTIFS($C$6:$C$13,"&gt;"&amp;C7)+COUNTIFS($C$6:C7,C7),"n.a.")</x:f>
        <x:v>3</x:v>
      </x:c>
      <x:c r="E7" s="33" t="n">
        <x:f>IF(AND(ISNUMBER(C7),C7&gt;=-1,C7&lt;=1,ISNUMBER('01_입력설정'!$B$23),ISNUMBER('01_입력설정'!$B$24),C7&gt;='01_입력설정'!$B$23,D7&lt;='01_입력설정'!$B$24,A7&lt;&gt;'01_입력설정'!$B$5,COUNTIFS($A$6:$A$13,A7)=1),1,0)</x:f>
        <x:v>1</x:v>
      </x:c>
      <x:c r="F7" s="30" t="n">
        <x:f>IF(ISBLANK('05_기업입력'!E8),"",'05_기업입력'!E8)</x:f>
        <x:v>0.88</x:v>
      </x:c>
      <x:c r="G7" s="16" t="n">
        <x:f>IF(AND(E7=1,ISNUMBER(F7)),COUNTIFS($E$6:$E$13,1,$F$6:$F$13,"&gt;"&amp;F7)+COUNTIFS($E$6:E7,1,$F$6:F7,F7),"n.a.")</x:f>
        <x:v>3</x:v>
      </x:c>
      <x:c r="H7" s="29" t="n">
        <x:f>IF(AND(E7=1,ISNUMBER(F7),F7&gt;=-1,F7&lt;=1,ISNUMBER('01_입력설정'!$B$25),ISNUMBER('01_입력설정'!$B$26),F7&gt;='01_입력설정'!$B$25,G7&lt;='01_입력설정'!$B$26),1,0)</x:f>
        <x:v>1</x:v>
      </x:c>
      <x:c r="I7" s="34" t="n">
        <x:f>IF(H7=1,100*MAX(0,MIN(1,F7)),"n.a.")</x:f>
        <x:v>88</x:v>
      </x:c>
      <x:c r="J7" s="35" t="n">
        <x:f>IF(AND(H7=1,ISNUMBER('05_기업입력'!F8),ISNUMBER('05_기업입력'!$F$6),ISNUMBER('01_입력설정'!$B$33),'01_입력설정'!$B$33&gt;0),100*MAX(0,1-ABS('05_기업입력'!F8-'05_기업입력'!$F$6)/'01_입력설정'!$B$33),"n.a.")</x:f>
        <x:v>90</x:v>
      </x:c>
      <x:c r="K7" s="35" t="n">
        <x:f>IF(AND(H7=1,ISNUMBER('05_기업입력'!G8),'05_기업입력'!G8&gt;=-1,'05_기업입력'!G8&lt;=1),100*MAX(0,MIN(1,'05_기업입력'!G8)),"n.a.")</x:f>
        <x:v>85</x:v>
      </x:c>
      <x:c r="L7" s="35" t="n">
        <x:f>IF(AND(H7=1,COUNT('05_기업입력'!H8:I8)=2,COUNT('05_기업입력'!$H$6:$I$6)=2,ISNUMBER('01_입력설정'!$B$32),'01_입력설정'!$B$32&gt;0),50*(MAX(0,1-ABS('05_기업입력'!H8-'05_기업입력'!$H$6)/'01_입력설정'!$B$32)+MAX(0,1-ABS('05_기업입력'!I8-'05_기업입력'!$I$6)/'01_입력설정'!$B$32)),"n.a.")</x:f>
        <x:v>80</x:v>
      </x:c>
      <x:c r="M7" s="36" t="n">
        <x:f>IF(ISBLANK('05_기업입력'!J8),"",'05_기업입력'!J8)</x:f>
        <x:v>0.9</x:v>
      </x:c>
      <x:c r="N7" s="35" t="n">
        <x:f>IF(AND(H7=1,COUNT(I7:L7)=4,ISNUMBER(M7),M7&gt;='01_입력설정'!$B$44,M7&lt;=1,ISNUMBER('01_입력설정'!$B$44),'01_입력설정'!$B$20="정상",'05_기업입력'!$A$6='01_입력설정'!$B$5,'05_기업입력'!$J$6&gt;='01_입력설정'!$B$44,OR('01_입력설정'!$B$12="예시",AND('01_입력설정'!$B$12="확정",P7="확정",'05_기업입력'!$K$6="확정"))),I7*'01_입력설정'!$B$15+J7*'01_입력설정'!$B$16+K7*'01_입력설정'!$B$17+L7*'01_입력설정'!$B$18,"n.a.")</x:f>
        <x:v>86.7</x:v>
      </x:c>
      <x:c r="O7" s="16" t="n">
        <x:f>IF(ISNUMBER(N7),COUNTIFS($N$6:$N$13,"&gt;"&amp;N7)+COUNTIFS($N$6:N7,N7),"n.a.")</x:f>
        <x:v>2</x:v>
      </x:c>
      <x:c r="P7" s="29" t="str">
        <x:f>IF(ISBLANK('05_기업입력'!K8),"",'05_기업입력'!K8)</x:f>
        <x:v>예시</x:v>
      </x:c>
      <x:c r="Q7" s="16" t="str">
        <x:f>IF(E7=0,"산업 제외 / 입력 확인",IF(H7=0,"BM 제외 / 입력 확인",IF(ISNUMBER(N7),"순위 산출","근거·가중치·필드 확인")))</x:f>
        <x:v>순위 산출</x:v>
      </x:c>
    </x:row>
    <x:row r="8" ht="37" customHeight="1">
      <x:c r="A8" s="29" t="str">
        <x:f>IF(ISBLANK('05_기업입력'!A9),"",'05_기업입력'!A9)</x:f>
        <x:v>P03</x:v>
      </x:c>
      <x:c r="B8" s="29" t="str">
        <x:f>IF(ISBLANK('05_기업입력'!B9),"",'05_기업입력'!B9)</x:f>
        <x:v>가상 감마</x:v>
      </x:c>
      <x:c r="C8" s="30" t="n">
        <x:f>IF(ISBLANK('05_기업입력'!D9),"",'05_기업입력'!D9)</x:f>
        <x:v>0.87</x:v>
      </x:c>
      <x:c r="D8" s="32" t="n">
        <x:f>IF(ISNUMBER(C8),COUNTIFS($C$6:$C$13,"&gt;"&amp;C8)+COUNTIFS($C$6:C8,C8),"n.a.")</x:f>
        <x:v>5</x:v>
      </x:c>
      <x:c r="E8" s="33" t="n">
        <x:f>IF(AND(ISNUMBER(C8),C8&gt;=-1,C8&lt;=1,ISNUMBER('01_입력설정'!$B$23),ISNUMBER('01_입력설정'!$B$24),C8&gt;='01_입력설정'!$B$23,D8&lt;='01_입력설정'!$B$24,A8&lt;&gt;'01_입력설정'!$B$5,COUNTIFS($A$6:$A$13,A8)=1),1,0)</x:f>
        <x:v>1</x:v>
      </x:c>
      <x:c r="F8" s="30" t="n">
        <x:f>IF(ISBLANK('05_기업입력'!E9),"",'05_기업입력'!E9)</x:f>
        <x:v>0.86</x:v>
      </x:c>
      <x:c r="G8" s="16" t="n">
        <x:f>IF(AND(E8=1,ISNUMBER(F8)),COUNTIFS($E$6:$E$13,1,$F$6:$F$13,"&gt;"&amp;F8)+COUNTIFS($E$6:E8,1,$F$6:F8,F8),"n.a.")</x:f>
        <x:v>5</x:v>
      </x:c>
      <x:c r="H8" s="29" t="n">
        <x:f>IF(AND(E8=1,ISNUMBER(F8),F8&gt;=-1,F8&lt;=1,ISNUMBER('01_입력설정'!$B$25),ISNUMBER('01_입력설정'!$B$26),F8&gt;='01_입력설정'!$B$25,G8&lt;='01_입력설정'!$B$26),1,0)</x:f>
        <x:v>1</x:v>
      </x:c>
      <x:c r="I8" s="34" t="n">
        <x:f>IF(H8=1,100*MAX(0,MIN(1,F8)),"n.a.")</x:f>
        <x:v>86</x:v>
      </x:c>
      <x:c r="J8" s="35" t="n">
        <x:f>IF(AND(H8=1,ISNUMBER('05_기업입력'!F9),ISNUMBER('05_기업입력'!$F$6),ISNUMBER('01_입력설정'!$B$33),'01_입력설정'!$B$33&gt;0),100*MAX(0,1-ABS('05_기업입력'!F9-'05_기업입력'!$F$6)/'01_입력설정'!$B$33),"n.a.")</x:f>
        <x:v>80</x:v>
      </x:c>
      <x:c r="K8" s="35" t="n">
        <x:f>IF(AND(H8=1,ISNUMBER('05_기업입력'!G9),'05_기업입력'!G9&gt;=-1,'05_기업입력'!G9&lt;=1),100*MAX(0,MIN(1,'05_기업입력'!G9)),"n.a.")</x:f>
        <x:v>88</x:v>
      </x:c>
      <x:c r="L8" s="35" t="n">
        <x:f>IF(AND(H8=1,COUNT('05_기업입력'!H9:I9)=2,COUNT('05_기업입력'!$H$6:$I$6)=2,ISNUMBER('01_입력설정'!$B$32),'01_입력설정'!$B$32&gt;0),50*(MAX(0,1-ABS('05_기업입력'!H9-'05_기업입력'!$H$6)/'01_입력설정'!$B$32)+MAX(0,1-ABS('05_기업입력'!I9-'05_기업입력'!$I$6)/'01_입력설정'!$B$32)),"n.a.")</x:f>
        <x:v>92.5</x:v>
      </x:c>
      <x:c r="M8" s="36" t="n">
        <x:f>IF(ISBLANK('05_기업입력'!J9),"",'05_기업입력'!J9)</x:f>
        <x:v>0.93</x:v>
      </x:c>
      <x:c r="N8" s="35" t="n">
        <x:f>IF(AND(H8=1,COUNT(I8:L8)=4,ISNUMBER(M8),M8&gt;='01_입력설정'!$B$44,M8&lt;=1,ISNUMBER('01_입력설정'!$B$44),'01_입력설정'!$B$20="정상",'05_기업입력'!$A$6='01_입력설정'!$B$5,'05_기업입력'!$J$6&gt;='01_입력설정'!$B$44,OR('01_입력설정'!$B$12="예시",AND('01_입력설정'!$B$12="확정",P8="확정",'05_기업입력'!$K$6="확정"))),I8*'01_입력설정'!$B$15+J8*'01_입력설정'!$B$16+K8*'01_입력설정'!$B$17+L8*'01_입력설정'!$B$18,"n.a.")</x:f>
        <x:v>85.875</x:v>
      </x:c>
      <x:c r="O8" s="16" t="n">
        <x:f>IF(ISNUMBER(N8),COUNTIFS($N$6:$N$13,"&gt;"&amp;N8)+COUNTIFS($N$6:N8,N8),"n.a.")</x:f>
        <x:v>3</x:v>
      </x:c>
      <x:c r="P8" s="29" t="str">
        <x:f>IF(ISBLANK('05_기업입력'!K9),"",'05_기업입력'!K9)</x:f>
        <x:v>예시</x:v>
      </x:c>
      <x:c r="Q8" s="16" t="str">
        <x:f>IF(E8=0,"산업 제외 / 입력 확인",IF(H8=0,"BM 제외 / 입력 확인",IF(ISNUMBER(N8),"순위 산출","근거·가중치·필드 확인")))</x:f>
        <x:v>순위 산출</x:v>
      </x:c>
    </x:row>
    <x:row r="9" ht="37" customHeight="1">
      <x:c r="A9" s="29" t="str">
        <x:f>IF(ISBLANK('05_기업입력'!A10),"",'05_기업입력'!A10)</x:f>
        <x:v>P04</x:v>
      </x:c>
      <x:c r="B9" s="29" t="str">
        <x:f>IF(ISBLANK('05_기업입력'!B10),"",'05_기업입력'!B10)</x:f>
        <x:v>가상 델타</x:v>
      </x:c>
      <x:c r="C9" s="30" t="n">
        <x:f>IF(ISBLANK('05_기업입력'!D10),"",'05_기업입력'!D10)</x:f>
        <x:v>0.82</x:v>
      </x:c>
      <x:c r="D9" s="32" t="n">
        <x:f>IF(ISNUMBER(C9),COUNTIFS($C$6:$C$13,"&gt;"&amp;C9)+COUNTIFS($C$6:C9,C9),"n.a.")</x:f>
        <x:v>6</x:v>
      </x:c>
      <x:c r="E9" s="33" t="n">
        <x:f>IF(AND(ISNUMBER(C9),C9&gt;=-1,C9&lt;=1,ISNUMBER('01_입력설정'!$B$23),ISNUMBER('01_입력설정'!$B$24),C9&gt;='01_입력설정'!$B$23,D9&lt;='01_입력설정'!$B$24,A9&lt;&gt;'01_입력설정'!$B$5,COUNTIFS($A$6:$A$13,A9)=1),1,0)</x:f>
        <x:v>1</x:v>
      </x:c>
      <x:c r="F9" s="30" t="n">
        <x:f>IF(ISBLANK('05_기업입력'!E10),"",'05_기업입력'!E10)</x:f>
        <x:v>0.79</x:v>
      </x:c>
      <x:c r="G9" s="16" t="n">
        <x:f>IF(AND(E9=1,ISNUMBER(F9)),COUNTIFS($E$6:$E$13,1,$F$6:$F$13,"&gt;"&amp;F9)+COUNTIFS($E$6:E9,1,$F$6:F9,F9),"n.a.")</x:f>
        <x:v>6</x:v>
      </x:c>
      <x:c r="H9" s="29" t="n">
        <x:f>IF(AND(E9=1,ISNUMBER(F9),F9&gt;=-1,F9&lt;=1,ISNUMBER('01_입력설정'!$B$25),ISNUMBER('01_입력설정'!$B$26),F9&gt;='01_입력설정'!$B$25,G9&lt;='01_입력설정'!$B$26),1,0)</x:f>
        <x:v>1</x:v>
      </x:c>
      <x:c r="I9" s="34" t="n">
        <x:f>IF(H9=1,100*MAX(0,MIN(1,F9)),"n.a.")</x:f>
        <x:v>79</x:v>
      </x:c>
      <x:c r="J9" s="35" t="n">
        <x:f>IF(AND(H9=1,ISNUMBER('05_기업입력'!F10),ISNUMBER('05_기업입력'!$F$6),ISNUMBER('01_입력설정'!$B$33),'01_입력설정'!$B$33&gt;0),100*MAX(0,1-ABS('05_기업입력'!F10-'05_기업입력'!$F$6)/'01_입력설정'!$B$33),"n.a.")</x:f>
        <x:v>50</x:v>
      </x:c>
      <x:c r="K9" s="35" t="n">
        <x:f>IF(AND(H9=1,ISNUMBER('05_기업입력'!G10),'05_기업입력'!G10&gt;=-1,'05_기업입력'!G10&lt;=1),100*MAX(0,MIN(1,'05_기업입력'!G10)),"n.a.")</x:f>
        <x:v>72</x:v>
      </x:c>
      <x:c r="L9" s="35" t="n">
        <x:f>IF(AND(H9=1,COUNT('05_기업입력'!H10:I10)=2,COUNT('05_기업입력'!$H$6:$I$6)=2,ISNUMBER('01_입력설정'!$B$32),'01_입력설정'!$B$32&gt;0),50*(MAX(0,1-ABS('05_기업입력'!H10-'05_기업입력'!$H$6)/'01_입력설정'!$B$32)+MAX(0,1-ABS('05_기업입력'!I10-'05_기업입력'!$I$6)/'01_입력설정'!$B$32)),"n.a.")</x:f>
        <x:v>45</x:v>
      </x:c>
      <x:c r="M9" s="36" t="n">
        <x:f>IF(ISBLANK('05_기업입력'!J10),"",'05_기업입력'!J10)</x:f>
        <x:v>0.85</x:v>
      </x:c>
      <x:c r="N9" s="35" t="n">
        <x:f>IF(AND(H9=1,COUNT(I9:L9)=4,ISNUMBER(M9),M9&gt;='01_입력설정'!$B$44,M9&lt;=1,ISNUMBER('01_입력설정'!$B$44),'01_입력설정'!$B$20="정상",'05_기업입력'!$A$6='01_입력설정'!$B$5,'05_기업입력'!$J$6&gt;='01_입력설정'!$B$44,OR('01_입력설정'!$B$12="예시",AND('01_입력설정'!$B$12="확정",P9="확정",'05_기업입력'!$K$6="확정"))),I9*'01_입력설정'!$B$15+J9*'01_입력설정'!$B$16+K9*'01_입력설정'!$B$17+L9*'01_입력설정'!$B$18,"n.a.")</x:f>
        <x:v>65.25</x:v>
      </x:c>
      <x:c r="O9" s="16" t="n">
        <x:f>IF(ISNUMBER(N9),COUNTIFS($N$6:$N$13,"&gt;"&amp;N9)+COUNTIFS($N$6:N9,N9),"n.a.")</x:f>
        <x:v>5</x:v>
      </x:c>
      <x:c r="P9" s="29" t="str">
        <x:f>IF(ISBLANK('05_기업입력'!K10),"",'05_기업입력'!K10)</x:f>
        <x:v>예시</x:v>
      </x:c>
      <x:c r="Q9" s="16" t="str">
        <x:f>IF(E9=0,"산업 제외 / 입력 확인",IF(H9=0,"BM 제외 / 입력 확인",IF(ISNUMBER(N9),"순위 산출","근거·가중치·필드 확인")))</x:f>
        <x:v>순위 산출</x:v>
      </x:c>
    </x:row>
    <x:row r="10" ht="37" customHeight="1">
      <x:c r="A10" s="29" t="str">
        <x:f>IF(ISBLANK('05_기업입력'!A11),"",'05_기업입력'!A11)</x:f>
        <x:v>P05</x:v>
      </x:c>
      <x:c r="B10" s="29" t="str">
        <x:f>IF(ISBLANK('05_기업입력'!B11),"",'05_기업입력'!B11)</x:f>
        <x:v>가상 엡실론</x:v>
      </x:c>
      <x:c r="C10" s="30" t="n">
        <x:f>IF(ISBLANK('05_기업입력'!D11),"",'05_기업입력'!D11)</x:f>
        <x:v>0.78</x:v>
      </x:c>
      <x:c r="D10" s="32" t="n">
        <x:f>IF(ISNUMBER(C10),COUNTIFS($C$6:$C$13,"&gt;"&amp;C10)+COUNTIFS($C$6:C10,C10),"n.a.")</x:f>
        <x:v>7</x:v>
      </x:c>
      <x:c r="E10" s="33" t="n">
        <x:f>IF(AND(ISNUMBER(C10),C10&gt;=-1,C10&lt;=1,ISNUMBER('01_입력설정'!$B$23),ISNUMBER('01_입력설정'!$B$24),C10&gt;='01_입력설정'!$B$23,D10&lt;='01_입력설정'!$B$24,A10&lt;&gt;'01_입력설정'!$B$5,COUNTIFS($A$6:$A$13,A10)=1),1,0)</x:f>
        <x:v>1</x:v>
      </x:c>
      <x:c r="F10" s="30" t="n">
        <x:f>IF(ISBLANK('05_기업입력'!E11),"",'05_기업입력'!E11)</x:f>
        <x:v>0.68</x:v>
      </x:c>
      <x:c r="G10" s="16" t="n">
        <x:f>IF(AND(E10=1,ISNUMBER(F10)),COUNTIFS($E$6:$E$13,1,$F$6:$F$13,"&gt;"&amp;F10)+COUNTIFS($E$6:E10,1,$F$6:F10,F10),"n.a.")</x:f>
        <x:v>7</x:v>
      </x:c>
      <x:c r="H10" s="29" t="n">
        <x:f>IF(AND(E10=1,ISNUMBER(F10),F10&gt;=-1,F10&lt;=1,ISNUMBER('01_입력설정'!$B$25),ISNUMBER('01_입력설정'!$B$26),F10&gt;='01_입력설정'!$B$25,G10&lt;='01_입력설정'!$B$26),1,0)</x:f>
        <x:v>0</x:v>
      </x:c>
      <x:c r="I10" s="34" t="str">
        <x:f>IF(H10=1,100*MAX(0,MIN(1,F10)),"n.a.")</x:f>
        <x:v>n.a.</x:v>
      </x:c>
      <x:c r="J10" s="35" t="str">
        <x:f>IF(AND(H10=1,ISNUMBER('05_기업입력'!F11),ISNUMBER('05_기업입력'!$F$6),ISNUMBER('01_입력설정'!$B$33),'01_입력설정'!$B$33&gt;0),100*MAX(0,1-ABS('05_기업입력'!F11-'05_기업입력'!$F$6)/'01_입력설정'!$B$33),"n.a.")</x:f>
        <x:v>n.a.</x:v>
      </x:c>
      <x:c r="K10" s="35" t="str">
        <x:f>IF(AND(H10=1,ISNUMBER('05_기업입력'!G11),'05_기업입력'!G11&gt;=-1,'05_기업입력'!G11&lt;=1),100*MAX(0,MIN(1,'05_기업입력'!G11)),"n.a.")</x:f>
        <x:v>n.a.</x:v>
      </x:c>
      <x:c r="L10" s="35" t="str">
        <x:f>IF(AND(H10=1,COUNT('05_기업입력'!H11:I11)=2,COUNT('05_기업입력'!$H$6:$I$6)=2,ISNUMBER('01_입력설정'!$B$32),'01_입력설정'!$B$32&gt;0),50*(MAX(0,1-ABS('05_기업입력'!H11-'05_기업입력'!$H$6)/'01_입력설정'!$B$32)+MAX(0,1-ABS('05_기업입력'!I11-'05_기업입력'!$I$6)/'01_입력설정'!$B$32)),"n.a.")</x:f>
        <x:v>n.a.</x:v>
      </x:c>
      <x:c r="M10" s="36" t="n">
        <x:f>IF(ISBLANK('05_기업입력'!J11),"",'05_기업입력'!J11)</x:f>
        <x:v>0.9</x:v>
      </x:c>
      <x:c r="N10" s="35" t="str">
        <x:f>IF(AND(H10=1,COUNT(I10:L10)=4,ISNUMBER(M10),M10&gt;='01_입력설정'!$B$44,M10&lt;=1,ISNUMBER('01_입력설정'!$B$44),'01_입력설정'!$B$20="정상",'05_기업입력'!$A$6='01_입력설정'!$B$5,'05_기업입력'!$J$6&gt;='01_입력설정'!$B$44,OR('01_입력설정'!$B$12="예시",AND('01_입력설정'!$B$12="확정",P10="확정",'05_기업입력'!$K$6="확정"))),I10*'01_입력설정'!$B$15+J10*'01_입력설정'!$B$16+K10*'01_입력설정'!$B$17+L10*'01_입력설정'!$B$18,"n.a.")</x:f>
        <x:v>n.a.</x:v>
      </x:c>
      <x:c r="O10" s="16" t="str">
        <x:f>IF(ISNUMBER(N10),COUNTIFS($N$6:$N$13,"&gt;"&amp;N10)+COUNTIFS($N$6:N10,N10),"n.a.")</x:f>
        <x:v>n.a.</x:v>
      </x:c>
      <x:c r="P10" s="29" t="str">
        <x:f>IF(ISBLANK('05_기업입력'!K11),"",'05_기업입력'!K11)</x:f>
        <x:v>예시</x:v>
      </x:c>
      <x:c r="Q10" s="16" t="str">
        <x:f>IF(E10=0,"산업 제외 / 입력 확인",IF(H10=0,"BM 제외 / 입력 확인",IF(ISNUMBER(N10),"순위 산출","근거·가중치·필드 확인")))</x:f>
        <x:v>BM 제외 / 입력 확인</x:v>
      </x:c>
    </x:row>
    <x:row r="11" ht="37" customHeight="1">
      <x:c r="A11" s="29" t="str">
        <x:f>IF(ISBLANK('05_기업입력'!A12),"",'05_기업입력'!A12)</x:f>
        <x:v>P06</x:v>
      </x:c>
      <x:c r="B11" s="29" t="str">
        <x:f>IF(ISBLANK('05_기업입력'!B12),"",'05_기업입력'!B12)</x:f>
        <x:v>가상 제타</x:v>
      </x:c>
      <x:c r="C11" s="30" t="n">
        <x:f>IF(ISBLANK('05_기업입력'!D12),"",'05_기업입력'!D12)</x:f>
        <x:v>0.62</x:v>
      </x:c>
      <x:c r="D11" s="32" t="n">
        <x:f>IF(ISNUMBER(C11),COUNTIFS($C$6:$C$13,"&gt;"&amp;C11)+COUNTIFS($C$6:C11,C11),"n.a.")</x:f>
        <x:v>8</x:v>
      </x:c>
      <x:c r="E11" s="33" t="n">
        <x:f>IF(AND(ISNUMBER(C11),C11&gt;=-1,C11&lt;=1,ISNUMBER('01_입력설정'!$B$23),ISNUMBER('01_입력설정'!$B$24),C11&gt;='01_입력설정'!$B$23,D11&lt;='01_입력설정'!$B$24,A11&lt;&gt;'01_입력설정'!$B$5,COUNTIFS($A$6:$A$13,A11)=1),1,0)</x:f>
        <x:v>0</x:v>
      </x:c>
      <x:c r="F11" s="30" t="n">
        <x:f>IF(ISBLANK('05_기업입력'!E12),"",'05_기업입력'!E12)</x:f>
        <x:v>0.55</x:v>
      </x:c>
      <x:c r="G11" s="16" t="str">
        <x:f>IF(AND(E11=1,ISNUMBER(F11)),COUNTIFS($E$6:$E$13,1,$F$6:$F$13,"&gt;"&amp;F11)+COUNTIFS($E$6:E11,1,$F$6:F11,F11),"n.a.")</x:f>
        <x:v>n.a.</x:v>
      </x:c>
      <x:c r="H11" s="29" t="n">
        <x:f>IF(AND(E11=1,ISNUMBER(F11),F11&gt;=-1,F11&lt;=1,ISNUMBER('01_입력설정'!$B$25),ISNUMBER('01_입력설정'!$B$26),F11&gt;='01_입력설정'!$B$25,G11&lt;='01_입력설정'!$B$26),1,0)</x:f>
        <x:v>0</x:v>
      </x:c>
      <x:c r="I11" s="34" t="str">
        <x:f>IF(H11=1,100*MAX(0,MIN(1,F11)),"n.a.")</x:f>
        <x:v>n.a.</x:v>
      </x:c>
      <x:c r="J11" s="35" t="str">
        <x:f>IF(AND(H11=1,ISNUMBER('05_기업입력'!F12),ISNUMBER('05_기업입력'!$F$6),ISNUMBER('01_입력설정'!$B$33),'01_입력설정'!$B$33&gt;0),100*MAX(0,1-ABS('05_기업입력'!F12-'05_기업입력'!$F$6)/'01_입력설정'!$B$33),"n.a.")</x:f>
        <x:v>n.a.</x:v>
      </x:c>
      <x:c r="K11" s="35" t="str">
        <x:f>IF(AND(H11=1,ISNUMBER('05_기업입력'!G12),'05_기업입력'!G12&gt;=-1,'05_기업입력'!G12&lt;=1),100*MAX(0,MIN(1,'05_기업입력'!G12)),"n.a.")</x:f>
        <x:v>n.a.</x:v>
      </x:c>
      <x:c r="L11" s="35" t="str">
        <x:f>IF(AND(H11=1,COUNT('05_기업입력'!H12:I12)=2,COUNT('05_기업입력'!$H$6:$I$6)=2,ISNUMBER('01_입력설정'!$B$32),'01_입력설정'!$B$32&gt;0),50*(MAX(0,1-ABS('05_기업입력'!H12-'05_기업입력'!$H$6)/'01_입력설정'!$B$32)+MAX(0,1-ABS('05_기업입력'!I12-'05_기업입력'!$I$6)/'01_입력설정'!$B$32)),"n.a.")</x:f>
        <x:v>n.a.</x:v>
      </x:c>
      <x:c r="M11" s="36" t="n">
        <x:f>IF(ISBLANK('05_기업입력'!J12),"",'05_기업입력'!J12)</x:f>
        <x:v>0.88</x:v>
      </x:c>
      <x:c r="N11" s="35" t="str">
        <x:f>IF(AND(H11=1,COUNT(I11:L11)=4,ISNUMBER(M11),M11&gt;='01_입력설정'!$B$44,M11&lt;=1,ISNUMBER('01_입력설정'!$B$44),'01_입력설정'!$B$20="정상",'05_기업입력'!$A$6='01_입력설정'!$B$5,'05_기업입력'!$J$6&gt;='01_입력설정'!$B$44,OR('01_입력설정'!$B$12="예시",AND('01_입력설정'!$B$12="확정",P11="확정",'05_기업입력'!$K$6="확정"))),I11*'01_입력설정'!$B$15+J11*'01_입력설정'!$B$16+K11*'01_입력설정'!$B$17+L11*'01_입력설정'!$B$18,"n.a.")</x:f>
        <x:v>n.a.</x:v>
      </x:c>
      <x:c r="O11" s="16" t="str">
        <x:f>IF(ISNUMBER(N11),COUNTIFS($N$6:$N$13,"&gt;"&amp;N11)+COUNTIFS($N$6:N11,N11),"n.a.")</x:f>
        <x:v>n.a.</x:v>
      </x:c>
      <x:c r="P11" s="29" t="str">
        <x:f>IF(ISBLANK('05_기업입력'!K12),"",'05_기업입력'!K12)</x:f>
        <x:v>예시</x:v>
      </x:c>
      <x:c r="Q11" s="16" t="str">
        <x:f>IF(E11=0,"산업 제외 / 입력 확인",IF(H11=0,"BM 제외 / 입력 확인",IF(ISNUMBER(N11),"순위 산출","근거·가중치·필드 확인")))</x:f>
        <x:v>산업 제외 / 입력 확인</x:v>
      </x:c>
    </x:row>
    <x:row r="12" ht="37" customHeight="1">
      <x:c r="A12" s="29" t="str">
        <x:f>IF(ISBLANK('05_기업입력'!A13),"",'05_기업입력'!A13)</x:f>
        <x:v>P07</x:v>
      </x:c>
      <x:c r="B12" s="29" t="str">
        <x:f>IF(ISBLANK('05_기업입력'!B13),"",'05_기업입력'!B13)</x:f>
        <x:v>가상 에타</x:v>
      </x:c>
      <x:c r="C12" s="30" t="n">
        <x:f>IF(ISBLANK('05_기업입력'!D13),"",'05_기업입력'!D13)</x:f>
        <x:v>0.9</x:v>
      </x:c>
      <x:c r="D12" s="32" t="n">
        <x:f>IF(ISNUMBER(C12),COUNTIFS($C$6:$C$13,"&gt;"&amp;C12)+COUNTIFS($C$6:C12,C12),"n.a.")</x:f>
        <x:v>2</x:v>
      </x:c>
      <x:c r="E12" s="33" t="n">
        <x:f>IF(AND(ISNUMBER(C12),C12&gt;=-1,C12&lt;=1,ISNUMBER('01_입력설정'!$B$23),ISNUMBER('01_입력설정'!$B$24),C12&gt;='01_입력설정'!$B$23,D12&lt;='01_입력설정'!$B$24,A12&lt;&gt;'01_입력설정'!$B$5,COUNTIFS($A$6:$A$13,A12)=1),1,0)</x:f>
        <x:v>1</x:v>
      </x:c>
      <x:c r="F12" s="30" t="n">
        <x:f>IF(ISBLANK('05_기업입력'!E13),"",'05_기업입력'!E13)</x:f>
        <x:v>0.91</x:v>
      </x:c>
      <x:c r="G12" s="16" t="n">
        <x:f>IF(AND(E12=1,ISNUMBER(F12)),COUNTIFS($E$6:$E$13,1,$F$6:$F$13,"&gt;"&amp;F12)+COUNTIFS($E$6:E12,1,$F$6:F12,F12),"n.a.")</x:f>
        <x:v>2</x:v>
      </x:c>
      <x:c r="H12" s="29" t="n">
        <x:f>IF(AND(E12=1,ISNUMBER(F12),F12&gt;=-1,F12&lt;=1,ISNUMBER('01_입력설정'!$B$25),ISNUMBER('01_입력설정'!$B$26),F12&gt;='01_입력설정'!$B$25,G12&lt;='01_입력설정'!$B$26),1,0)</x:f>
        <x:v>1</x:v>
      </x:c>
      <x:c r="I12" s="34" t="n">
        <x:f>IF(H12=1,100*MAX(0,MIN(1,F12)),"n.a.")</x:f>
        <x:v>91</x:v>
      </x:c>
      <x:c r="J12" s="35" t="n">
        <x:f>IF(AND(H12=1,ISNUMBER('05_기업입력'!F13),ISNUMBER('05_기업입력'!$F$6),ISNUMBER('01_입력설정'!$B$33),'01_입력설정'!$B$33&gt;0),100*MAX(0,1-ABS('05_기업입력'!F13-'05_기업입력'!$F$6)/'01_입력설정'!$B$33),"n.a.")</x:f>
        <x:v>66.66666666666667</x:v>
      </x:c>
      <x:c r="K12" s="35" t="n">
        <x:f>IF(AND(H12=1,ISNUMBER('05_기업입력'!G13),'05_기업입력'!G13&gt;=-1,'05_기업입력'!G13&lt;=1),100*MAX(0,MIN(1,'05_기업입력'!G13)),"n.a.")</x:f>
        <x:v>84</x:v>
      </x:c>
      <x:c r="L12" s="35" t="n">
        <x:f>IF(AND(H12=1,COUNT('05_기업입력'!H13:I13)=2,COUNT('05_기업입력'!$H$6:$I$6)=2,ISNUMBER('01_입력설정'!$B$32),'01_입력설정'!$B$32&gt;0),50*(MAX(0,1-ABS('05_기업입력'!H13-'05_기업입력'!$H$6)/'01_입력설정'!$B$32)+MAX(0,1-ABS('05_기업입력'!I13-'05_기업입력'!$I$6)/'01_입력설정'!$B$32)),"n.a.")</x:f>
        <x:v>55.00000000000001</x:v>
      </x:c>
      <x:c r="M12" s="36" t="n">
        <x:f>IF(ISBLANK('05_기업입력'!J13),"",'05_기업입력'!J13)</x:f>
        <x:v>0.95</x:v>
      </x:c>
      <x:c r="N12" s="35" t="n">
        <x:f>IF(AND(H12=1,COUNT(I12:L12)=4,ISNUMBER(M12),M12&gt;='01_입력설정'!$B$44,M12&lt;=1,ISNUMBER('01_입력설정'!$B$44),'01_입력설정'!$B$20="정상",'05_기업입력'!$A$6='01_입력설정'!$B$5,'05_기업입력'!$J$6&gt;='01_입력설정'!$B$44,OR('01_입력설정'!$B$12="예시",AND('01_입력설정'!$B$12="확정",P12="확정",'05_기업입력'!$K$6="확정"))),I12*'01_입력설정'!$B$15+J12*'01_입력설정'!$B$16+K12*'01_입력설정'!$B$17+L12*'01_입력설정'!$B$18,"n.a.")</x:f>
        <x:v>78.11666666666666</x:v>
      </x:c>
      <x:c r="O12" s="16" t="n">
        <x:f>IF(ISNUMBER(N12),COUNTIFS($N$6:$N$13,"&gt;"&amp;N12)+COUNTIFS($N$6:N12,N12),"n.a.")</x:f>
        <x:v>4</x:v>
      </x:c>
      <x:c r="P12" s="29" t="str">
        <x:f>IF(ISBLANK('05_기업입력'!K13),"",'05_기업입력'!K13)</x:f>
        <x:v>예시</x:v>
      </x:c>
      <x:c r="Q12" s="16" t="str">
        <x:f>IF(E12=0,"산업 제외 / 입력 확인",IF(H12=0,"BM 제외 / 입력 확인",IF(ISNUMBER(N12),"순위 산출","근거·가중치·필드 확인")))</x:f>
        <x:v>순위 산출</x:v>
      </x:c>
    </x:row>
    <x:row r="13" ht="37" customHeight="1">
      <x:c r="A13" s="29" t="str">
        <x:f>IF(ISBLANK('05_기업입력'!A14),"",'05_기업입력'!A14)</x:f>
        <x:v>P08</x:v>
      </x:c>
      <x:c r="B13" s="29" t="str">
        <x:f>IF(ISBLANK('05_기업입력'!B14),"",'05_기업입력'!B14)</x:f>
        <x:v>가상 세타</x:v>
      </x:c>
      <x:c r="C13" s="30" t="n">
        <x:f>IF(ISBLANK('05_기업입력'!D14),"",'05_기업입력'!D14)</x:f>
        <x:v>0.88</x:v>
      </x:c>
      <x:c r="D13" s="32" t="n">
        <x:f>IF(ISNUMBER(C13),COUNTIFS($C$6:$C$13,"&gt;"&amp;C13)+COUNTIFS($C$6:C13,C13),"n.a.")</x:f>
        <x:v>4</x:v>
      </x:c>
      <x:c r="E13" s="33" t="n">
        <x:f>IF(AND(ISNUMBER(C13),C13&gt;=-1,C13&lt;=1,ISNUMBER('01_입력설정'!$B$23),ISNUMBER('01_입력설정'!$B$24),C13&gt;='01_입력설정'!$B$23,D13&lt;='01_입력설정'!$B$24,A13&lt;&gt;'01_입력설정'!$B$5,COUNTIFS($A$6:$A$13,A13)=1),1,0)</x:f>
        <x:v>1</x:v>
      </x:c>
      <x:c r="F13" s="30" t="n">
        <x:f>IF(ISBLANK('05_기업입력'!E14),"",'05_기업입력'!E14)</x:f>
        <x:v>0.87</x:v>
      </x:c>
      <x:c r="G13" s="16" t="n">
        <x:f>IF(AND(E13=1,ISNUMBER(F13)),COUNTIFS($E$6:$E$13,1,$F$6:$F$13,"&gt;"&amp;F13)+COUNTIFS($E$6:E13,1,$F$6:F13,F13),"n.a.")</x:f>
        <x:v>4</x:v>
      </x:c>
      <x:c r="H13" s="29" t="n">
        <x:f>IF(AND(E13=1,ISNUMBER(F13),F13&gt;=-1,F13&lt;=1,ISNUMBER('01_입력설정'!$B$25),ISNUMBER('01_입력설정'!$B$26),F13&gt;='01_입력설정'!$B$25,G13&lt;='01_입력설정'!$B$26),1,0)</x:f>
        <x:v>1</x:v>
      </x:c>
      <x:c r="I13" s="34" t="n">
        <x:f>IF(H13=1,100*MAX(0,MIN(1,F13)),"n.a.")</x:f>
        <x:v>87</x:v>
      </x:c>
      <x:c r="J13" s="35" t="n">
        <x:f>IF(AND(H13=1,ISNUMBER('05_기업입력'!F14),ISNUMBER('05_기업입력'!$F$6),ISNUMBER('01_입력설정'!$B$33),'01_입력설정'!$B$33&gt;0),100*MAX(0,1-ABS('05_기업입력'!F14-'05_기업입력'!$F$6)/'01_입력설정'!$B$33),"n.a.")</x:f>
        <x:v>96.66666666666667</x:v>
      </x:c>
      <x:c r="K13" s="35" t="n">
        <x:f>IF(AND(H13=1,ISNUMBER('05_기업입력'!G14),'05_기업입력'!G14&gt;=-1,'05_기업입력'!G14&lt;=1),100*MAX(0,MIN(1,'05_기업입력'!G14)),"n.a.")</x:f>
        <x:v>86</x:v>
      </x:c>
      <x:c r="L13" s="35" t="n">
        <x:f>IF(AND(H13=1,COUNT('05_기업입력'!H14:I14)=2,COUNT('05_기업입력'!$H$6:$I$6)=2,ISNUMBER('01_입력설정'!$B$32),'01_입력설정'!$B$32&gt;0),50*(MAX(0,1-ABS('05_기업입력'!H14-'05_기업입력'!$H$6)/'01_입력설정'!$B$32)+MAX(0,1-ABS('05_기업입력'!I14-'05_기업입력'!$I$6)/'01_입력설정'!$B$32)),"n.a.")</x:f>
        <x:v>90.00000000000001</x:v>
      </x:c>
      <x:c r="M13" s="36" t="n">
        <x:f>IF(ISBLANK('05_기업입력'!J14),"",'05_기업입력'!J14)</x:f>
        <x:v>0.5</x:v>
      </x:c>
      <x:c r="N13" s="35" t="str">
        <x:f>IF(AND(H13=1,COUNT(I13:L13)=4,ISNUMBER(M13),M13&gt;='01_입력설정'!$B$44,M13&lt;=1,ISNUMBER('01_입력설정'!$B$44),'01_입력설정'!$B$20="정상",'05_기업입력'!$A$6='01_입력설정'!$B$5,'05_기업입력'!$J$6&gt;='01_입력설정'!$B$44,OR('01_입력설정'!$B$12="예시",AND('01_입력설정'!$B$12="확정",P13="확정",'05_기업입력'!$K$6="확정"))),I13*'01_입력설정'!$B$15+J13*'01_입력설정'!$B$16+K13*'01_입력설정'!$B$17+L13*'01_입력설정'!$B$18,"n.a.")</x:f>
        <x:v>n.a.</x:v>
      </x:c>
      <x:c r="O13" s="16" t="str">
        <x:f>IF(ISNUMBER(N13),COUNTIFS($N$6:$N$13,"&gt;"&amp;N13)+COUNTIFS($N$6:N13,N13),"n.a.")</x:f>
        <x:v>n.a.</x:v>
      </x:c>
      <x:c r="P13" s="29" t="str">
        <x:f>IF(ISBLANK('05_기업입력'!K14),"",'05_기업입력'!K14)</x:f>
        <x:v>예시</x:v>
      </x:c>
      <x:c r="Q13" s="16" t="str">
        <x:f>IF(E13=0,"산업 제외 / 입력 확인",IF(H13=0,"BM 제외 / 입력 확인",IF(ISNUMBER(N13),"순위 산출","근거·가중치·필드 확인")))</x:f>
        <x:v>근거·가중치·필드 확인</x:v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</x:row>
    <x:row r="17" ht="34" customHeight="1">
      <x:c r="A17" s="12" t="str">
        <x:v>순위</x:v>
      </x:c>
      <x:c r="B17" s="12" t="str">
        <x:v>기업명</x:v>
      </x:c>
      <x:c r="C17" s="12" t="str">
        <x:v>기업 ID</x:v>
      </x:c>
      <x:c r="D17" s="12" t="str">
        <x:v>가중 점수</x:v>
      </x:c>
      <x:c r="E17" s="12" t="str">
        <x:v>BM 점수</x:v>
      </x:c>
      <x:c r="F17" s="12" t="str">
        <x:v>성장 점수</x:v>
      </x:c>
      <x:c r="G17" s="12" t="str">
        <x:v>리스크 점수</x:v>
      </x:c>
      <x:c r="H17" s="12" t="str">
        <x:v>재무 점수</x:v>
      </x:c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25" customHeight="1">
      <x:c r="A18" s="3" t="n">
        <x:v>1</x:v>
      </x:c>
      <x:c r="B18" s="16" t="str">
        <x:f>IF(COUNTIFS($O$6:$O$13,$A18)=0,"",INDEX($B$6:$B$13,MATCH($A18,$O$6:$O$13,0)))</x:f>
        <x:v>가상 알파</x:v>
      </x:c>
      <x:c r="C18" s="16" t="str">
        <x:f>IF(COUNTIFS($O$6:$O$13,$A18)=0,"",INDEX($A$6:$A$13,MATCH($A18,$O$6:$O$13,0)))</x:f>
        <x:v>P01</x:v>
      </x:c>
      <x:c r="D18" s="34" t="n">
        <x:f>IF(COUNTIFS($O$6:$O$13,$A18)=0,"",INDEX($N$6:$N$13,MATCH($A18,$O$6:$O$13,0)))</x:f>
        <x:v>89.7</x:v>
      </x:c>
      <x:c r="E18" s="34" t="n">
        <x:f>IF(COUNTIFS($O$6:$O$13,$A18)=0,"",INDEX($I$6:$I$13,MATCH($A18,$O$6:$O$13,0)))</x:f>
        <x:v>93</x:v>
      </x:c>
      <x:c r="F18" s="34" t="n">
        <x:f>IF(COUNTIFS($O$6:$O$13,$A18)=0,"",INDEX($J$6:$J$13,MATCH($A18,$O$6:$O$13,0)))</x:f>
        <x:v>89.99999999999999</x:v>
      </x:c>
      <x:c r="G18" s="34" t="n">
        <x:f>IF(COUNTIFS($O$6:$O$13,$A18)=0,"",INDEX($K$6:$K$13,MATCH($A18,$O$6:$O$13,0)))</x:f>
        <x:v>90</x:v>
      </x:c>
      <x:c r="H18" s="34" t="n">
        <x:f>IF(COUNTIFS($O$6:$O$13,$A18)=0,"",INDEX($L$6:$L$13,MATCH($A18,$O$6:$O$13,0)))</x:f>
        <x:v>79.99999999999999</x:v>
      </x:c>
      <x:c r="I18" s="3"/>
      <x:c r="J18" s="3"/>
      <x:c r="K18" s="3"/>
      <x:c r="L18" s="3"/>
      <x:c r="M18" s="3"/>
      <x:c r="N18" s="3"/>
      <x:c r="O18" s="3"/>
      <x:c r="P18" s="3"/>
      <x:c r="Q18" s="3"/>
    </x:row>
    <x:row r="19" ht="25" customHeight="1">
      <x:c r="A19" s="3" t="n">
        <x:v>2</x:v>
      </x:c>
      <x:c r="B19" s="16" t="str">
        <x:f>IF(COUNTIFS($O$6:$O$13,$A19)=0,"",INDEX($B$6:$B$13,MATCH($A19,$O$6:$O$13,0)))</x:f>
        <x:v>가상 베타</x:v>
      </x:c>
      <x:c r="C19" s="16" t="str">
        <x:f>IF(COUNTIFS($O$6:$O$13,$A19)=0,"",INDEX($A$6:$A$13,MATCH($A19,$O$6:$O$13,0)))</x:f>
        <x:v>P02</x:v>
      </x:c>
      <x:c r="D19" s="34" t="n">
        <x:f>IF(COUNTIFS($O$6:$O$13,$A19)=0,"",INDEX($N$6:$N$13,MATCH($A19,$O$6:$O$13,0)))</x:f>
        <x:v>86.7</x:v>
      </x:c>
      <x:c r="E19" s="34" t="n">
        <x:f>IF(COUNTIFS($O$6:$O$13,$A19)=0,"",INDEX($I$6:$I$13,MATCH($A19,$O$6:$O$13,0)))</x:f>
        <x:v>88</x:v>
      </x:c>
      <x:c r="F19" s="34" t="n">
        <x:f>IF(COUNTIFS($O$6:$O$13,$A19)=0,"",INDEX($J$6:$J$13,MATCH($A19,$O$6:$O$13,0)))</x:f>
        <x:v>90</x:v>
      </x:c>
      <x:c r="G19" s="34" t="n">
        <x:f>IF(COUNTIFS($O$6:$O$13,$A19)=0,"",INDEX($K$6:$K$13,MATCH($A19,$O$6:$O$13,0)))</x:f>
        <x:v>85</x:v>
      </x:c>
      <x:c r="H19" s="34" t="n">
        <x:f>IF(COUNTIFS($O$6:$O$13,$A19)=0,"",INDEX($L$6:$L$13,MATCH($A19,$O$6:$O$13,0)))</x:f>
        <x:v>80</x:v>
      </x:c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25" customHeight="1">
      <x:c r="A20" s="3" t="n">
        <x:v>3</x:v>
      </x:c>
      <x:c r="B20" s="16" t="str">
        <x:f>IF(COUNTIFS($O$6:$O$13,$A20)=0,"",INDEX($B$6:$B$13,MATCH($A20,$O$6:$O$13,0)))</x:f>
        <x:v>가상 감마</x:v>
      </x:c>
      <x:c r="C20" s="16" t="str">
        <x:f>IF(COUNTIFS($O$6:$O$13,$A20)=0,"",INDEX($A$6:$A$13,MATCH($A20,$O$6:$O$13,0)))</x:f>
        <x:v>P03</x:v>
      </x:c>
      <x:c r="D20" s="34" t="n">
        <x:f>IF(COUNTIFS($O$6:$O$13,$A20)=0,"",INDEX($N$6:$N$13,MATCH($A20,$O$6:$O$13,0)))</x:f>
        <x:v>85.875</x:v>
      </x:c>
      <x:c r="E20" s="34" t="n">
        <x:f>IF(COUNTIFS($O$6:$O$13,$A20)=0,"",INDEX($I$6:$I$13,MATCH($A20,$O$6:$O$13,0)))</x:f>
        <x:v>86</x:v>
      </x:c>
      <x:c r="F20" s="34" t="n">
        <x:f>IF(COUNTIFS($O$6:$O$13,$A20)=0,"",INDEX($J$6:$J$13,MATCH($A20,$O$6:$O$13,0)))</x:f>
        <x:v>80</x:v>
      </x:c>
      <x:c r="G20" s="34" t="n">
        <x:f>IF(COUNTIFS($O$6:$O$13,$A20)=0,"",INDEX($K$6:$K$13,MATCH($A20,$O$6:$O$13,0)))</x:f>
        <x:v>88</x:v>
      </x:c>
      <x:c r="H20" s="34" t="n">
        <x:f>IF(COUNTIFS($O$6:$O$13,$A20)=0,"",INDEX($L$6:$L$13,MATCH($A20,$O$6:$O$13,0)))</x:f>
        <x:v>92.5</x:v>
      </x:c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25" customHeight="1">
      <x:c r="A21" s="3" t="n">
        <x:v>4</x:v>
      </x:c>
      <x:c r="B21" s="16" t="str">
        <x:f>IF(COUNTIFS($O$6:$O$13,$A21)=0,"",INDEX($B$6:$B$13,MATCH($A21,$O$6:$O$13,0)))</x:f>
        <x:v>가상 에타</x:v>
      </x:c>
      <x:c r="C21" s="16" t="str">
        <x:f>IF(COUNTIFS($O$6:$O$13,$A21)=0,"",INDEX($A$6:$A$13,MATCH($A21,$O$6:$O$13,0)))</x:f>
        <x:v>P07</x:v>
      </x:c>
      <x:c r="D21" s="34" t="n">
        <x:f>IF(COUNTIFS($O$6:$O$13,$A21)=0,"",INDEX($N$6:$N$13,MATCH($A21,$O$6:$O$13,0)))</x:f>
        <x:v>78.11666666666666</x:v>
      </x:c>
      <x:c r="E21" s="34" t="n">
        <x:f>IF(COUNTIFS($O$6:$O$13,$A21)=0,"",INDEX($I$6:$I$13,MATCH($A21,$O$6:$O$13,0)))</x:f>
        <x:v>91</x:v>
      </x:c>
      <x:c r="F21" s="34" t="n">
        <x:f>IF(COUNTIFS($O$6:$O$13,$A21)=0,"",INDEX($J$6:$J$13,MATCH($A21,$O$6:$O$13,0)))</x:f>
        <x:v>66.66666666666667</x:v>
      </x:c>
      <x:c r="G21" s="34" t="n">
        <x:f>IF(COUNTIFS($O$6:$O$13,$A21)=0,"",INDEX($K$6:$K$13,MATCH($A21,$O$6:$O$13,0)))</x:f>
        <x:v>84</x:v>
      </x:c>
      <x:c r="H21" s="34" t="n">
        <x:f>IF(COUNTIFS($O$6:$O$13,$A21)=0,"",INDEX($L$6:$L$13,MATCH($A21,$O$6:$O$13,0)))</x:f>
        <x:v>55.00000000000001</x:v>
      </x:c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25" customHeight="1">
      <x:c r="A22" s="3" t="n">
        <x:v>5</x:v>
      </x:c>
      <x:c r="B22" s="16" t="str">
        <x:f>IF(COUNTIFS($O$6:$O$13,$A22)=0,"",INDEX($B$6:$B$13,MATCH($A22,$O$6:$O$13,0)))</x:f>
        <x:v>가상 델타</x:v>
      </x:c>
      <x:c r="C22" s="16" t="str">
        <x:f>IF(COUNTIFS($O$6:$O$13,$A22)=0,"",INDEX($A$6:$A$13,MATCH($A22,$O$6:$O$13,0)))</x:f>
        <x:v>P04</x:v>
      </x:c>
      <x:c r="D22" s="34" t="n">
        <x:f>IF(COUNTIFS($O$6:$O$13,$A22)=0,"",INDEX($N$6:$N$13,MATCH($A22,$O$6:$O$13,0)))</x:f>
        <x:v>65.25</x:v>
      </x:c>
      <x:c r="E22" s="34" t="n">
        <x:f>IF(COUNTIFS($O$6:$O$13,$A22)=0,"",INDEX($I$6:$I$13,MATCH($A22,$O$6:$O$13,0)))</x:f>
        <x:v>79</x:v>
      </x:c>
      <x:c r="F22" s="34" t="n">
        <x:f>IF(COUNTIFS($O$6:$O$13,$A22)=0,"",INDEX($J$6:$J$13,MATCH($A22,$O$6:$O$13,0)))</x:f>
        <x:v>50</x:v>
      </x:c>
      <x:c r="G22" s="34" t="n">
        <x:f>IF(COUNTIFS($O$6:$O$13,$A22)=0,"",INDEX($K$6:$K$13,MATCH($A22,$O$6:$O$13,0)))</x:f>
        <x:v>72</x:v>
      </x:c>
      <x:c r="H22" s="34" t="n">
        <x:f>IF(COUNTIFS($O$6:$O$13,$A22)=0,"",INDEX($L$6:$L$13,MATCH($A22,$O$6:$O$13,0)))</x:f>
        <x:v>45</x:v>
      </x:c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25" customHeight="1">
      <x:c r="A23" s="3" t="n">
        <x:v>6</x:v>
      </x:c>
      <x:c r="B23" s="16" t="str">
        <x:f>IF(COUNTIFS($O$6:$O$13,$A23)=0,"",INDEX($B$6:$B$13,MATCH($A23,$O$6:$O$13,0)))</x:f>
      </x:c>
      <x:c r="C23" s="16" t="str">
        <x:f>IF(COUNTIFS($O$6:$O$13,$A23)=0,"",INDEX($A$6:$A$13,MATCH($A23,$O$6:$O$13,0)))</x:f>
      </x:c>
      <x:c r="D23" s="34" t="str">
        <x:f>IF(COUNTIFS($O$6:$O$13,$A23)=0,"",INDEX($N$6:$N$13,MATCH($A23,$O$6:$O$13,0)))</x:f>
      </x:c>
      <x:c r="E23" s="34" t="str">
        <x:f>IF(COUNTIFS($O$6:$O$13,$A23)=0,"",INDEX($I$6:$I$13,MATCH($A23,$O$6:$O$13,0)))</x:f>
      </x:c>
      <x:c r="F23" s="34" t="str">
        <x:f>IF(COUNTIFS($O$6:$O$13,$A23)=0,"",INDEX($J$6:$J$13,MATCH($A23,$O$6:$O$13,0)))</x:f>
      </x:c>
      <x:c r="G23" s="34" t="str">
        <x:f>IF(COUNTIFS($O$6:$O$13,$A23)=0,"",INDEX($K$6:$K$13,MATCH($A23,$O$6:$O$13,0)))</x:f>
      </x:c>
      <x:c r="H23" s="34" t="str">
        <x:f>IF(COUNTIFS($O$6:$O$13,$A23)=0,"",INDEX($L$6:$L$13,MATCH($A23,$O$6:$O$13,0)))</x:f>
      </x:c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25" customHeight="1">
      <x:c r="A24" s="3" t="n">
        <x:v>7</x:v>
      </x:c>
      <x:c r="B24" s="16" t="str">
        <x:f>IF(COUNTIFS($O$6:$O$13,$A24)=0,"",INDEX($B$6:$B$13,MATCH($A24,$O$6:$O$13,0)))</x:f>
      </x:c>
      <x:c r="C24" s="16" t="str">
        <x:f>IF(COUNTIFS($O$6:$O$13,$A24)=0,"",INDEX($A$6:$A$13,MATCH($A24,$O$6:$O$13,0)))</x:f>
      </x:c>
      <x:c r="D24" s="34" t="str">
        <x:f>IF(COUNTIFS($O$6:$O$13,$A24)=0,"",INDEX($N$6:$N$13,MATCH($A24,$O$6:$O$13,0)))</x:f>
      </x:c>
      <x:c r="E24" s="34" t="str">
        <x:f>IF(COUNTIFS($O$6:$O$13,$A24)=0,"",INDEX($I$6:$I$13,MATCH($A24,$O$6:$O$13,0)))</x:f>
      </x:c>
      <x:c r="F24" s="34" t="str">
        <x:f>IF(COUNTIFS($O$6:$O$13,$A24)=0,"",INDEX($J$6:$J$13,MATCH($A24,$O$6:$O$13,0)))</x:f>
      </x:c>
      <x:c r="G24" s="34" t="str">
        <x:f>IF(COUNTIFS($O$6:$O$13,$A24)=0,"",INDEX($K$6:$K$13,MATCH($A24,$O$6:$O$13,0)))</x:f>
      </x:c>
      <x:c r="H24" s="34" t="str">
        <x:f>IF(COUNTIFS($O$6:$O$13,$A24)=0,"",INDEX($L$6:$L$13,MATCH($A24,$O$6:$O$13,0)))</x:f>
      </x:c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25" customHeight="1">
      <x:c r="A25" s="3" t="n">
        <x:v>8</x:v>
      </x:c>
      <x:c r="B25" s="16" t="str">
        <x:f>IF(COUNTIFS($O$6:$O$13,$A25)=0,"",INDEX($B$6:$B$13,MATCH($A25,$O$6:$O$13,0)))</x:f>
      </x:c>
      <x:c r="C25" s="16" t="str">
        <x:f>IF(COUNTIFS($O$6:$O$13,$A25)=0,"",INDEX($A$6:$A$13,MATCH($A25,$O$6:$O$13,0)))</x:f>
      </x:c>
      <x:c r="D25" s="34" t="str">
        <x:f>IF(COUNTIFS($O$6:$O$13,$A25)=0,"",INDEX($N$6:$N$13,MATCH($A25,$O$6:$O$13,0)))</x:f>
      </x:c>
      <x:c r="E25" s="34" t="str">
        <x:f>IF(COUNTIFS($O$6:$O$13,$A25)=0,"",INDEX($I$6:$I$13,MATCH($A25,$O$6:$O$13,0)))</x:f>
      </x:c>
      <x:c r="F25" s="34" t="str">
        <x:f>IF(COUNTIFS($O$6:$O$13,$A25)=0,"",INDEX($J$6:$J$13,MATCH($A25,$O$6:$O$13,0)))</x:f>
      </x:c>
      <x:c r="G25" s="34" t="str">
        <x:f>IF(COUNTIFS($O$6:$O$13,$A25)=0,"",INDEX($K$6:$K$13,MATCH($A25,$O$6:$O$13,0)))</x:f>
      </x:c>
      <x:c r="H25" s="34" t="str">
        <x:f>IF(COUNTIFS($O$6:$O$13,$A25)=0,"",INDEX($L$6:$L$13,MATCH($A25,$O$6:$O$13,0)))</x:f>
      </x:c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25" customHeight="1">
      <x:c r="A28" s="27" t="str">
        <x:v>동점 처리: 원천 행 순서로 표시 순위만 구분합니다. 가중 점수 자체는 변경하지 않습니다.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25" customHeight="1">
      <x:c r="A30" s="27" t="str">
        <x:v>엄격 완전성 정책: 가중치가 0인 영역도 필수 필드와 근거를 확보해야 순위를 표시합니다.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</x:sheetData>
  <x:conditionalFormatting sqref="Q6:Q13">
    <x:cfRule type="containsText" dxfId="1" priority="1" operator="containsText" text="확인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766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5" hidden="0" customWidth="1"/>
    <x:col min="4" max="4" width="17" hidden="0" customWidth="1"/>
    <x:col min="5" max="5" width="23" hidden="0" customWidth="1"/>
    <x:col min="6" max="6" width="23" hidden="0" customWidth="1"/>
    <x:col min="7" max="7" width="15" hidden="0" customWidth="1"/>
    <x:col min="8" max="8" width="19" hidden="0" customWidth="1"/>
    <x:col min="9" max="9" width="16" hidden="0" customWidth="1"/>
    <x:col min="10" max="10" width="18" hidden="0" customWidth="1"/>
    <x:col min="11" max="11" width="32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5" t="str">
        <x:v>PER 공모가 밴드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7" t="str">
        <x:v>원·주·배 기준. 가상의 예시이며, 순이익 × PER를 IPO 후 주식수로 나누는 단순 희석 방식입니다.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4" customHeight="1">
      <x:c r="A5" s="12" t="str">
        <x:v>기업 ID</x:v>
      </x:c>
      <x:c r="B5" s="12" t="str">
        <x:v>기업명</x:v>
      </x:c>
      <x:c r="C5" s="12" t="str">
        <x:v>사용자 선택</x:v>
      </x:c>
      <x:c r="D5" s="12" t="str">
        <x:v>순위 대상</x:v>
      </x:c>
      <x:c r="E5" s="12" t="str">
        <x:v>시가총액 (원)</x:v>
      </x:c>
      <x:c r="F5" s="12" t="str">
        <x:v>귀속 이익 (원)</x:v>
      </x:c>
      <x:c r="G5" s="12" t="str">
        <x:v>PER (배)</x:v>
      </x:c>
      <x:c r="H5" s="12" t="str">
        <x:v>기준 일치</x:v>
      </x:c>
      <x:c r="I5" s="12" t="str">
        <x:v>최종 포함</x:v>
      </x:c>
      <x:c r="J5" s="12" t="str">
        <x:v>포함 PER (배)</x:v>
      </x:c>
      <x:c r="K5" s="12" t="str">
        <x:v>상태 / 제외 사유</x:v>
      </x:c>
    </x:row>
    <x:row r="6" ht="36" customHeight="1">
      <x:c r="A6" s="29" t="str">
        <x:f>'05_기업입력'!A21</x:f>
        <x:v>P01</x:v>
      </x:c>
      <x:c r="B6" s="29" t="str">
        <x:f>IF(COUNTIFS('02_유사도계산'!$A$6:$A$13,A6)=1,INDEX('02_유사도계산'!$B$6:$B$13,MATCH(A6,'02_유사도계산'!$A$6:$A$13,0)),"ID 확인")</x:f>
        <x:v>가상 알파</x:v>
      </x:c>
      <x:c r="C6" s="29" t="n">
        <x:f>IF(ISNUMBER('05_기업입력'!J21),'05_기업입력'!J21,"")</x:f>
        <x:v>1</x:v>
      </x:c>
      <x:c r="D6" s="29" t="n">
        <x:f>IF(COUNTIFS('02_유사도계산'!$A$6:$A$13,A6)=1,IF(ISNUMBER(INDEX('02_유사도계산'!$N$6:$N$13,MATCH(A6,'02_유사도계산'!$A$6:$A$13,0))),1,0),0)</x:f>
        <x:v>1</x:v>
      </x:c>
      <x:c r="E6" s="37" t="n">
        <x:f>IF(ISBLANK('05_기업입력'!B21),"",'05_기업입력'!B21)</x:f>
        <x:v>240000000000</x:v>
      </x:c>
      <x:c r="F6" s="37" t="n">
        <x:f>IF(ISBLANK('05_기업입력'!C21),"",'05_기업입력'!C21)</x:f>
        <x:v>12000000000</x:v>
      </x:c>
      <x:c r="G6" s="38" t="n">
        <x:f>IF(AND(ISNUMBER(E6),ISNUMBER(F6),E6&gt;0,F6&gt;0),E6/F6,"n.a.")</x:f>
        <x:v>20</x:v>
      </x:c>
      <x:c r="H6" s="29" t="n">
        <x:f>IF(AND(LEN('01_입력설정'!$B$9)&gt;0,LEN('01_입력설정'!$B$10)&gt;0,OR('01_입력설정'!$B$11="CFS",'01_입력설정'!$B$11="OFS"),ISNUMBER('01_입력설정'!$B$8),'05_기업입력'!D21='01_입력설정'!$B$9,'05_기업입력'!E21='01_입력설정'!$B$10,'05_기업입력'!F21='01_입력설정'!$B$11,'05_기업입력'!G21='01_입력설정'!$B$8,OR('01_입력설정'!$B$12="예시",AND('01_입력설정'!$B$12="확정",'05_기업입력'!H21="확정"))),1,0)</x:f>
        <x:v>1</x:v>
      </x:c>
      <x:c r="I6" s="29" t="n">
        <x:f>IF(AND(C6=1,D6=1,H6=1,ISNUMBER(G6),G6&lt;='01_입력설정'!$B$28,ISNUMBER('01_입력설정'!$B$28),COUNTIFS($A$6:$A$13,A6)=1),1,0)</x:f>
        <x:v>1</x:v>
      </x:c>
      <x:c r="J6" s="38" t="n">
        <x:f>IF(I6=1,G6,"")</x:f>
        <x:v>20</x:v>
      </x:c>
      <x:c r="K6" s="29" t="str">
        <x:f>IF(C6&lt;&gt;1,"미선택",IF(D6&lt;&gt;1,"순위·근거 확인",IF(H6&lt;&gt;1,"기간·기준·상태 확인",IF(NOT(ISNUMBER(G6)),"시총·이익 확인",IF(G6&gt;'01_입력설정'!$B$28,"PER 상한 초과",IF(I6=1,"포함","중복 ID 확인"))))))</x:f>
        <x:v>포함</x:v>
      </x:c>
    </x:row>
    <x:row r="7" ht="36" customHeight="1">
      <x:c r="A7" s="29" t="str">
        <x:f>'05_기업입력'!A22</x:f>
        <x:v>P02</x:v>
      </x:c>
      <x:c r="B7" s="29" t="str">
        <x:f>IF(COUNTIFS('02_유사도계산'!$A$6:$A$13,A7)=1,INDEX('02_유사도계산'!$B$6:$B$13,MATCH(A7,'02_유사도계산'!$A$6:$A$13,0)),"ID 확인")</x:f>
        <x:v>가상 베타</x:v>
      </x:c>
      <x:c r="C7" s="29" t="n">
        <x:f>IF(ISNUMBER('05_기업입력'!J22),'05_기업입력'!J22,"")</x:f>
        <x:v>1</x:v>
      </x:c>
      <x:c r="D7" s="29" t="n">
        <x:f>IF(COUNTIFS('02_유사도계산'!$A$6:$A$13,A7)=1,IF(ISNUMBER(INDEX('02_유사도계산'!$N$6:$N$13,MATCH(A7,'02_유사도계산'!$A$6:$A$13,0))),1,0),0)</x:f>
        <x:v>1</x:v>
      </x:c>
      <x:c r="E7" s="37" t="n">
        <x:f>IF(ISBLANK('05_기업입력'!B22),"",'05_기업입력'!B22)</x:f>
        <x:v>210000000000</x:v>
      </x:c>
      <x:c r="F7" s="37" t="n">
        <x:f>IF(ISBLANK('05_기업입력'!C22),"",'05_기업입력'!C22)</x:f>
        <x:v>10000000000</x:v>
      </x:c>
      <x:c r="G7" s="38" t="n">
        <x:f>IF(AND(ISNUMBER(E7),ISNUMBER(F7),E7&gt;0,F7&gt;0),E7/F7,"n.a.")</x:f>
        <x:v>21</x:v>
      </x:c>
      <x:c r="H7" s="29" t="n">
        <x:f>IF(AND(LEN('01_입력설정'!$B$9)&gt;0,LEN('01_입력설정'!$B$10)&gt;0,OR('01_입력설정'!$B$11="CFS",'01_입력설정'!$B$11="OFS"),ISNUMBER('01_입력설정'!$B$8),'05_기업입력'!D22='01_입력설정'!$B$9,'05_기업입력'!E22='01_입력설정'!$B$10,'05_기업입력'!F22='01_입력설정'!$B$11,'05_기업입력'!G22='01_입력설정'!$B$8,OR('01_입력설정'!$B$12="예시",AND('01_입력설정'!$B$12="확정",'05_기업입력'!H22="확정"))),1,0)</x:f>
        <x:v>1</x:v>
      </x:c>
      <x:c r="I7" s="29" t="n">
        <x:f>IF(AND(C7=1,D7=1,H7=1,ISNUMBER(G7),G7&lt;='01_입력설정'!$B$28,ISNUMBER('01_입력설정'!$B$28),COUNTIFS($A$6:$A$13,A7)=1),1,0)</x:f>
        <x:v>1</x:v>
      </x:c>
      <x:c r="J7" s="38" t="n">
        <x:f>IF(I7=1,G7,"")</x:f>
        <x:v>21</x:v>
      </x:c>
      <x:c r="K7" s="29" t="str">
        <x:f>IF(C7&lt;&gt;1,"미선택",IF(D7&lt;&gt;1,"순위·근거 확인",IF(H7&lt;&gt;1,"기간·기준·상태 확인",IF(NOT(ISNUMBER(G7)),"시총·이익 확인",IF(G7&gt;'01_입력설정'!$B$28,"PER 상한 초과",IF(I7=1,"포함","중복 ID 확인"))))))</x:f>
        <x:v>포함</x:v>
      </x:c>
    </x:row>
    <x:row r="8" ht="36" customHeight="1">
      <x:c r="A8" s="29" t="str">
        <x:f>'05_기업입력'!A23</x:f>
        <x:v>P03</x:v>
      </x:c>
      <x:c r="B8" s="29" t="str">
        <x:f>IF(COUNTIFS('02_유사도계산'!$A$6:$A$13,A8)=1,INDEX('02_유사도계산'!$B$6:$B$13,MATCH(A8,'02_유사도계산'!$A$6:$A$13,0)),"ID 확인")</x:f>
        <x:v>가상 감마</x:v>
      </x:c>
      <x:c r="C8" s="29" t="n">
        <x:f>IF(ISNUMBER('05_기업입력'!J23),'05_기업입력'!J23,"")</x:f>
        <x:v>1</x:v>
      </x:c>
      <x:c r="D8" s="29" t="n">
        <x:f>IF(COUNTIFS('02_유사도계산'!$A$6:$A$13,A8)=1,IF(ISNUMBER(INDEX('02_유사도계산'!$N$6:$N$13,MATCH(A8,'02_유사도계산'!$A$6:$A$13,0))),1,0),0)</x:f>
        <x:v>1</x:v>
      </x:c>
      <x:c r="E8" s="37" t="n">
        <x:f>IF(ISBLANK('05_기업입력'!B23),"",'05_기업입력'!B23)</x:f>
        <x:v>390000000000</x:v>
      </x:c>
      <x:c r="F8" s="37" t="n">
        <x:f>IF(ISBLANK('05_기업입력'!C23),"",'05_기업입력'!C23)</x:f>
        <x:v>15000000000</x:v>
      </x:c>
      <x:c r="G8" s="38" t="n">
        <x:f>IF(AND(ISNUMBER(E8),ISNUMBER(F8),E8&gt;0,F8&gt;0),E8/F8,"n.a.")</x:f>
        <x:v>26</x:v>
      </x:c>
      <x:c r="H8" s="29" t="n">
        <x:f>IF(AND(LEN('01_입력설정'!$B$9)&gt;0,LEN('01_입력설정'!$B$10)&gt;0,OR('01_입력설정'!$B$11="CFS",'01_입력설정'!$B$11="OFS"),ISNUMBER('01_입력설정'!$B$8),'05_기업입력'!D23='01_입력설정'!$B$9,'05_기업입력'!E23='01_입력설정'!$B$10,'05_기업입력'!F23='01_입력설정'!$B$11,'05_기업입력'!G23='01_입력설정'!$B$8,OR('01_입력설정'!$B$12="예시",AND('01_입력설정'!$B$12="확정",'05_기업입력'!H23="확정"))),1,0)</x:f>
        <x:v>1</x:v>
      </x:c>
      <x:c r="I8" s="29" t="n">
        <x:f>IF(AND(C8=1,D8=1,H8=1,ISNUMBER(G8),G8&lt;='01_입력설정'!$B$28,ISNUMBER('01_입력설정'!$B$28),COUNTIFS($A$6:$A$13,A8)=1),1,0)</x:f>
        <x:v>1</x:v>
      </x:c>
      <x:c r="J8" s="38" t="n">
        <x:f>IF(I8=1,G8,"")</x:f>
        <x:v>26</x:v>
      </x:c>
      <x:c r="K8" s="29" t="str">
        <x:f>IF(C8&lt;&gt;1,"미선택",IF(D8&lt;&gt;1,"순위·근거 확인",IF(H8&lt;&gt;1,"기간·기준·상태 확인",IF(NOT(ISNUMBER(G8)),"시총·이익 확인",IF(G8&gt;'01_입력설정'!$B$28,"PER 상한 초과",IF(I8=1,"포함","중복 ID 확인"))))))</x:f>
        <x:v>포함</x:v>
      </x:c>
    </x:row>
    <x:row r="9" ht="36" customHeight="1">
      <x:c r="A9" s="29" t="str">
        <x:f>'05_기업입력'!A24</x:f>
        <x:v>P04</x:v>
      </x:c>
      <x:c r="B9" s="29" t="str">
        <x:f>IF(COUNTIFS('02_유사도계산'!$A$6:$A$13,A9)=1,INDEX('02_유사도계산'!$B$6:$B$13,MATCH(A9,'02_유사도계산'!$A$6:$A$13,0)),"ID 확인")</x:f>
        <x:v>가상 델타</x:v>
      </x:c>
      <x:c r="C9" s="29" t="n">
        <x:f>IF(ISNUMBER('05_기업입력'!J24),'05_기업입력'!J24,"")</x:f>
        <x:v>0</x:v>
      </x:c>
      <x:c r="D9" s="29" t="n">
        <x:f>IF(COUNTIFS('02_유사도계산'!$A$6:$A$13,A9)=1,IF(ISNUMBER(INDEX('02_유사도계산'!$N$6:$N$13,MATCH(A9,'02_유사도계산'!$A$6:$A$13,0))),1,0),0)</x:f>
        <x:v>1</x:v>
      </x:c>
      <x:c r="E9" s="37" t="n">
        <x:f>IF(ISBLANK('05_기업입력'!B24),"",'05_기업입력'!B24)</x:f>
        <x:v>180000000000</x:v>
      </x:c>
      <x:c r="F9" s="37" t="n">
        <x:f>IF(ISBLANK('05_기업입력'!C24),"",'05_기업입력'!C24)</x:f>
        <x:v>9000000000</x:v>
      </x:c>
      <x:c r="G9" s="38" t="n">
        <x:f>IF(AND(ISNUMBER(E9),ISNUMBER(F9),E9&gt;0,F9&gt;0),E9/F9,"n.a.")</x:f>
        <x:v>20</x:v>
      </x:c>
      <x:c r="H9" s="29" t="n">
        <x:f>IF(AND(LEN('01_입력설정'!$B$9)&gt;0,LEN('01_입력설정'!$B$10)&gt;0,OR('01_입력설정'!$B$11="CFS",'01_입력설정'!$B$11="OFS"),ISNUMBER('01_입력설정'!$B$8),'05_기업입력'!D24='01_입력설정'!$B$9,'05_기업입력'!E24='01_입력설정'!$B$10,'05_기업입력'!F24='01_입력설정'!$B$11,'05_기업입력'!G24='01_입력설정'!$B$8,OR('01_입력설정'!$B$12="예시",AND('01_입력설정'!$B$12="확정",'05_기업입력'!H24="확정"))),1,0)</x:f>
        <x:v>1</x:v>
      </x:c>
      <x:c r="I9" s="29" t="n">
        <x:f>IF(AND(C9=1,D9=1,H9=1,ISNUMBER(G9),G9&lt;='01_입력설정'!$B$28,ISNUMBER('01_입력설정'!$B$28),COUNTIFS($A$6:$A$13,A9)=1),1,0)</x:f>
        <x:v>0</x:v>
      </x:c>
      <x:c r="J9" s="38" t="str">
        <x:f>IF(I9=1,G9,"")</x:f>
      </x:c>
      <x:c r="K9" s="29" t="str">
        <x:f>IF(C9&lt;&gt;1,"미선택",IF(D9&lt;&gt;1,"순위·근거 확인",IF(H9&lt;&gt;1,"기간·기준·상태 확인",IF(NOT(ISNUMBER(G9)),"시총·이익 확인",IF(G9&gt;'01_입력설정'!$B$28,"PER 상한 초과",IF(I9=1,"포함","중복 ID 확인"))))))</x:f>
        <x:v>미선택</x:v>
      </x:c>
    </x:row>
    <x:row r="10" ht="36" customHeight="1">
      <x:c r="A10" s="29" t="str">
        <x:f>'05_기업입력'!A25</x:f>
        <x:v>P05</x:v>
      </x:c>
      <x:c r="B10" s="29" t="str">
        <x:f>IF(COUNTIFS('02_유사도계산'!$A$6:$A$13,A10)=1,INDEX('02_유사도계산'!$B$6:$B$13,MATCH(A10,'02_유사도계산'!$A$6:$A$13,0)),"ID 확인")</x:f>
        <x:v>가상 엡실론</x:v>
      </x:c>
      <x:c r="C10" s="29" t="n">
        <x:f>IF(ISNUMBER('05_기업입력'!J25),'05_기업입력'!J25,"")</x:f>
        <x:v>0</x:v>
      </x:c>
      <x:c r="D10" s="29" t="n">
        <x:f>IF(COUNTIFS('02_유사도계산'!$A$6:$A$13,A10)=1,IF(ISNUMBER(INDEX('02_유사도계산'!$N$6:$N$13,MATCH(A10,'02_유사도계산'!$A$6:$A$13,0))),1,0),0)</x:f>
        <x:v>0</x:v>
      </x:c>
      <x:c r="E10" s="37" t="n">
        <x:f>IF(ISBLANK('05_기업입력'!B25),"",'05_기업입력'!B25)</x:f>
        <x:v>90000000000</x:v>
      </x:c>
      <x:c r="F10" s="37" t="n">
        <x:f>IF(ISBLANK('05_기업입력'!C25),"",'05_기업입력'!C25)</x:f>
        <x:v>6000000000</x:v>
      </x:c>
      <x:c r="G10" s="38" t="n">
        <x:f>IF(AND(ISNUMBER(E10),ISNUMBER(F10),E10&gt;0,F10&gt;0),E10/F10,"n.a.")</x:f>
        <x:v>15</x:v>
      </x:c>
      <x:c r="H10" s="29" t="n">
        <x:f>IF(AND(LEN('01_입력설정'!$B$9)&gt;0,LEN('01_입력설정'!$B$10)&gt;0,OR('01_입력설정'!$B$11="CFS",'01_입력설정'!$B$11="OFS"),ISNUMBER('01_입력설정'!$B$8),'05_기업입력'!D25='01_입력설정'!$B$9,'05_기업입력'!E25='01_입력설정'!$B$10,'05_기업입력'!F25='01_입력설정'!$B$11,'05_기업입력'!G25='01_입력설정'!$B$8,OR('01_입력설정'!$B$12="예시",AND('01_입력설정'!$B$12="확정",'05_기업입력'!H25="확정"))),1,0)</x:f>
        <x:v>1</x:v>
      </x:c>
      <x:c r="I10" s="29" t="n">
        <x:f>IF(AND(C10=1,D10=1,H10=1,ISNUMBER(G10),G10&lt;='01_입력설정'!$B$28,ISNUMBER('01_입력설정'!$B$28),COUNTIFS($A$6:$A$13,A10)=1),1,0)</x:f>
        <x:v>0</x:v>
      </x:c>
      <x:c r="J10" s="38" t="str">
        <x:f>IF(I10=1,G10,"")</x:f>
      </x:c>
      <x:c r="K10" s="29" t="str">
        <x:f>IF(C10&lt;&gt;1,"미선택",IF(D10&lt;&gt;1,"순위·근거 확인",IF(H10&lt;&gt;1,"기간·기준·상태 확인",IF(NOT(ISNUMBER(G10)),"시총·이익 확인",IF(G10&gt;'01_입력설정'!$B$28,"PER 상한 초과",IF(I10=1,"포함","중복 ID 확인"))))))</x:f>
        <x:v>미선택</x:v>
      </x:c>
    </x:row>
    <x:row r="11" ht="36" customHeight="1">
      <x:c r="A11" s="29" t="str">
        <x:f>'05_기업입력'!A26</x:f>
        <x:v>P06</x:v>
      </x:c>
      <x:c r="B11" s="29" t="str">
        <x:f>IF(COUNTIFS('02_유사도계산'!$A$6:$A$13,A11)=1,INDEX('02_유사도계산'!$B$6:$B$13,MATCH(A11,'02_유사도계산'!$A$6:$A$13,0)),"ID 확인")</x:f>
        <x:v>가상 제타</x:v>
      </x:c>
      <x:c r="C11" s="29" t="n">
        <x:f>IF(ISNUMBER('05_기업입력'!J26),'05_기업입력'!J26,"")</x:f>
        <x:v>0</x:v>
      </x:c>
      <x:c r="D11" s="29" t="n">
        <x:f>IF(COUNTIFS('02_유사도계산'!$A$6:$A$13,A11)=1,IF(ISNUMBER(INDEX('02_유사도계산'!$N$6:$N$13,MATCH(A11,'02_유사도계산'!$A$6:$A$13,0))),1,0),0)</x:f>
        <x:v>0</x:v>
      </x:c>
      <x:c r="E11" s="37" t="n">
        <x:f>IF(ISBLANK('05_기업입력'!B26),"",'05_기업입력'!B26)</x:f>
        <x:v>100000000000</x:v>
      </x:c>
      <x:c r="F11" s="37" t="n">
        <x:f>IF(ISBLANK('05_기업입력'!C26),"",'05_기업입력'!C26)</x:f>
        <x:v>5000000000</x:v>
      </x:c>
      <x:c r="G11" s="38" t="n">
        <x:f>IF(AND(ISNUMBER(E11),ISNUMBER(F11),E11&gt;0,F11&gt;0),E11/F11,"n.a.")</x:f>
        <x:v>20</x:v>
      </x:c>
      <x:c r="H11" s="29" t="n">
        <x:f>IF(AND(LEN('01_입력설정'!$B$9)&gt;0,LEN('01_입력설정'!$B$10)&gt;0,OR('01_입력설정'!$B$11="CFS",'01_입력설정'!$B$11="OFS"),ISNUMBER('01_입력설정'!$B$8),'05_기업입력'!D26='01_입력설정'!$B$9,'05_기업입력'!E26='01_입력설정'!$B$10,'05_기업입력'!F26='01_입력설정'!$B$11,'05_기업입력'!G26='01_입력설정'!$B$8,OR('01_입력설정'!$B$12="예시",AND('01_입력설정'!$B$12="확정",'05_기업입력'!H26="확정"))),1,0)</x:f>
        <x:v>1</x:v>
      </x:c>
      <x:c r="I11" s="29" t="n">
        <x:f>IF(AND(C11=1,D11=1,H11=1,ISNUMBER(G11),G11&lt;='01_입력설정'!$B$28,ISNUMBER('01_입력설정'!$B$28),COUNTIFS($A$6:$A$13,A11)=1),1,0)</x:f>
        <x:v>0</x:v>
      </x:c>
      <x:c r="J11" s="38" t="str">
        <x:f>IF(I11=1,G11,"")</x:f>
      </x:c>
      <x:c r="K11" s="29" t="str">
        <x:f>IF(C11&lt;&gt;1,"미선택",IF(D11&lt;&gt;1,"순위·근거 확인",IF(H11&lt;&gt;1,"기간·기준·상태 확인",IF(NOT(ISNUMBER(G11)),"시총·이익 확인",IF(G11&gt;'01_입력설정'!$B$28,"PER 상한 초과",IF(I11=1,"포함","중복 ID 확인"))))))</x:f>
        <x:v>미선택</x:v>
      </x:c>
    </x:row>
    <x:row r="12" ht="36" customHeight="1">
      <x:c r="A12" s="29" t="str">
        <x:f>'05_기업입력'!A27</x:f>
        <x:v>P07</x:v>
      </x:c>
      <x:c r="B12" s="29" t="str">
        <x:f>IF(COUNTIFS('02_유사도계산'!$A$6:$A$13,A12)=1,INDEX('02_유사도계산'!$B$6:$B$13,MATCH(A12,'02_유사도계산'!$A$6:$A$13,0)),"ID 확인")</x:f>
        <x:v>가상 에타</x:v>
      </x:c>
      <x:c r="C12" s="29" t="n">
        <x:f>IF(ISNUMBER('05_기업입력'!J27),'05_기업입력'!J27,"")</x:f>
        <x:v>0</x:v>
      </x:c>
      <x:c r="D12" s="29" t="n">
        <x:f>IF(COUNTIFS('02_유사도계산'!$A$6:$A$13,A12)=1,IF(ISNUMBER(INDEX('02_유사도계산'!$N$6:$N$13,MATCH(A12,'02_유사도계산'!$A$6:$A$13,0))),1,0),0)</x:f>
        <x:v>1</x:v>
      </x:c>
      <x:c r="E12" s="37" t="n">
        <x:f>IF(ISBLANK('05_기업입력'!B27),"",'05_기업입력'!B27)</x:f>
        <x:v>110000000000</x:v>
      </x:c>
      <x:c r="F12" s="37" t="n">
        <x:f>IF(ISBLANK('05_기업입력'!C27),"",'05_기업입력'!C27)</x:f>
        <x:v>-2000000000</x:v>
      </x:c>
      <x:c r="G12" s="38" t="str">
        <x:f>IF(AND(ISNUMBER(E12),ISNUMBER(F12),E12&gt;0,F12&gt;0),E12/F12,"n.a.")</x:f>
        <x:v>n.a.</x:v>
      </x:c>
      <x:c r="H12" s="29" t="n">
        <x:f>IF(AND(LEN('01_입력설정'!$B$9)&gt;0,LEN('01_입력설정'!$B$10)&gt;0,OR('01_입력설정'!$B$11="CFS",'01_입력설정'!$B$11="OFS"),ISNUMBER('01_입력설정'!$B$8),'05_기업입력'!D27='01_입력설정'!$B$9,'05_기업입력'!E27='01_입력설정'!$B$10,'05_기업입력'!F27='01_입력설정'!$B$11,'05_기업입력'!G27='01_입력설정'!$B$8,OR('01_입력설정'!$B$12="예시",AND('01_입력설정'!$B$12="확정",'05_기업입력'!H27="확정"))),1,0)</x:f>
        <x:v>1</x:v>
      </x:c>
      <x:c r="I12" s="29" t="n">
        <x:f>IF(AND(C12=1,D12=1,H12=1,ISNUMBER(G12),G12&lt;='01_입력설정'!$B$28,ISNUMBER('01_입력설정'!$B$28),COUNTIFS($A$6:$A$13,A12)=1),1,0)</x:f>
        <x:v>0</x:v>
      </x:c>
      <x:c r="J12" s="38" t="str">
        <x:f>IF(I12=1,G12,"")</x:f>
      </x:c>
      <x:c r="K12" s="29" t="str">
        <x:f>IF(C12&lt;&gt;1,"미선택",IF(D12&lt;&gt;1,"순위·근거 확인",IF(H12&lt;&gt;1,"기간·기준·상태 확인",IF(NOT(ISNUMBER(G12)),"시총·이익 확인",IF(G12&gt;'01_입력설정'!$B$28,"PER 상한 초과",IF(I12=1,"포함","중복 ID 확인"))))))</x:f>
        <x:v>미선택</x:v>
      </x:c>
    </x:row>
    <x:row r="13" ht="36" customHeight="1">
      <x:c r="A13" s="29" t="str">
        <x:f>'05_기업입력'!A28</x:f>
        <x:v>P08</x:v>
      </x:c>
      <x:c r="B13" s="29" t="str">
        <x:f>IF(COUNTIFS('02_유사도계산'!$A$6:$A$13,A13)=1,INDEX('02_유사도계산'!$B$6:$B$13,MATCH(A13,'02_유사도계산'!$A$6:$A$13,0)),"ID 확인")</x:f>
        <x:v>가상 세타</x:v>
      </x:c>
      <x:c r="C13" s="29" t="n">
        <x:f>IF(ISNUMBER('05_기업입력'!J28),'05_기업입력'!J28,"")</x:f>
        <x:v>0</x:v>
      </x:c>
      <x:c r="D13" s="29" t="n">
        <x:f>IF(COUNTIFS('02_유사도계산'!$A$6:$A$13,A13)=1,IF(ISNUMBER(INDEX('02_유사도계산'!$N$6:$N$13,MATCH(A13,'02_유사도계산'!$A$6:$A$13,0))),1,0),0)</x:f>
        <x:v>0</x:v>
      </x:c>
      <x:c r="E13" s="37" t="n">
        <x:f>IF(ISBLANK('05_기업입력'!B28),"",'05_기업입력'!B28)</x:f>
        <x:v>240000000000</x:v>
      </x:c>
      <x:c r="F13" s="37" t="n">
        <x:f>IF(ISBLANK('05_기업입력'!C28),"",'05_기업입력'!C28)</x:f>
        <x:v>12000000000</x:v>
      </x:c>
      <x:c r="G13" s="38" t="n">
        <x:f>IF(AND(ISNUMBER(E13),ISNUMBER(F13),E13&gt;0,F13&gt;0),E13/F13,"n.a.")</x:f>
        <x:v>20</x:v>
      </x:c>
      <x:c r="H13" s="29" t="n">
        <x:f>IF(AND(LEN('01_입력설정'!$B$9)&gt;0,LEN('01_입력설정'!$B$10)&gt;0,OR('01_입력설정'!$B$11="CFS",'01_입력설정'!$B$11="OFS"),ISNUMBER('01_입력설정'!$B$8),'05_기업입력'!D28='01_입력설정'!$B$9,'05_기업입력'!E28='01_입력설정'!$B$10,'05_기업입력'!F28='01_입력설정'!$B$11,'05_기업입력'!G28='01_입력설정'!$B$8,OR('01_입력설정'!$B$12="예시",AND('01_입력설정'!$B$12="확정",'05_기업입력'!H28="확정"))),1,0)</x:f>
        <x:v>1</x:v>
      </x:c>
      <x:c r="I13" s="29" t="n">
        <x:f>IF(AND(C13=1,D13=1,H13=1,ISNUMBER(G13),G13&lt;='01_입력설정'!$B$28,ISNUMBER('01_입력설정'!$B$28),COUNTIFS($A$6:$A$13,A13)=1),1,0)</x:f>
        <x:v>0</x:v>
      </x:c>
      <x:c r="J13" s="38" t="str">
        <x:f>IF(I13=1,G13,"")</x:f>
      </x:c>
      <x:c r="K13" s="29" t="str">
        <x:f>IF(C13&lt;&gt;1,"미선택",IF(D13&lt;&gt;1,"순위·근거 확인",IF(H13&lt;&gt;1,"기간·기준·상태 확인",IF(NOT(ISNUMBER(G13)),"시총·이익 확인",IF(G13&gt;'01_입력설정'!$B$28,"PER 상한 초과",IF(I13=1,"포함","중복 ID 확인"))))))</x:f>
        <x:v>미선택</x:v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34" customHeight="1">
      <x:c r="A16" s="12" t="str">
        <x:v>평가 계산 항목</x:v>
      </x:c>
      <x:c r="B16" s="12" t="str">
        <x:v>계산값</x:v>
      </x:c>
      <x:c r="C16" s="12" t="str">
        <x:v>단위</x:v>
      </x:c>
      <x:c r="D16" s="3"/>
      <x:c r="E16" s="3"/>
      <x:c r="F16" s="3"/>
      <x:c r="G16" s="3"/>
      <x:c r="H16" s="3"/>
      <x:c r="I16" s="3"/>
      <x:c r="J16" s="3"/>
      <x:c r="K16" s="3"/>
    </x:row>
    <x:row r="17" ht="42" customHeight="1">
      <x:c r="A17" s="13" t="str">
        <x:v>유효 비교기업 수</x:v>
      </x:c>
      <x:c r="B17" s="48" t="n">
        <x:f>SUM(I6:I13)</x:f>
        <x:v>3</x:v>
      </x:c>
      <x:c r="C17" s="3" t="str">
        <x:v>개</x:v>
      </x:c>
      <x:c r="D17" s="3"/>
      <x:c r="E17" s="3" t="str">
        <x:v>공식과 해석</x:v>
      </x:c>
      <x:c r="F17" s="13" t="str"/>
      <x:c r="G17" s="13"/>
      <x:c r="H17" s="13"/>
      <x:c r="I17" s="13"/>
      <x:c r="J17" s="13"/>
      <x:c r="K17" s="13"/>
    </x:row>
    <x:row r="18" ht="42" customHeight="1">
      <x:c r="A18" s="13" t="str">
        <x:v>최소 기업 수 상태</x:v>
      </x:c>
      <x:c r="B18" s="49" t="str">
        <x:f>IF(AND(ISNUMBER('01_입력설정'!B27),'01_입력설정'!B27&gt;=1,B17&gt;='01_입력설정'!B27),"정상","기업 수 부족 / 설정 확인")</x:f>
        <x:v>정상</x:v>
      </x:c>
      <x:c r="C18" s="3" t="str">
        <x:v>상태</x:v>
      </x:c>
      <x:c r="D18" s="3"/>
      <x:c r="E18" s="3"/>
      <x:c r="F18" s="3"/>
      <x:c r="G18" s="3"/>
      <x:c r="H18" s="3"/>
      <x:c r="I18" s="3"/>
      <x:c r="J18" s="3"/>
      <x:c r="K18" s="3"/>
    </x:row>
    <x:row r="19" ht="42" customHeight="1">
      <x:c r="A19" s="13" t="str">
        <x:v>PER 하단 Q1</x:v>
      </x:c>
      <x:c r="B19" s="50" t="n">
        <x:f>IF(B18="정상",QUARTILE(J6:J13,1),"n.a.")</x:f>
        <x:v>20.5</x:v>
      </x:c>
      <x:c r="C19" s="3" t="str">
        <x:v>배</x:v>
      </x:c>
      <x:c r="D19" s="3"/>
      <x:c r="E19" s="3" t="str">
        <x:v>PER</x:v>
      </x:c>
      <x:c r="F19" s="13" t="str">
        <x:v>시가총액 ÷ 동일기간 정상화 보통주 귀속 순이익</x:v>
      </x:c>
      <x:c r="G19" s="13"/>
      <x:c r="H19" s="13"/>
      <x:c r="I19" s="13"/>
      <x:c r="J19" s="13"/>
      <x:c r="K19" s="13"/>
    </x:row>
    <x:row r="20" ht="42" customHeight="1">
      <x:c r="A20" s="13" t="str">
        <x:v>PER 중앙값</x:v>
      </x:c>
      <x:c r="B20" s="50" t="n">
        <x:f>IF(B18="정상",MEDIAN(J6:J13),"n.a.")</x:f>
        <x:v>21</x:v>
      </x:c>
      <x:c r="C20" s="3" t="str">
        <x:v>배</x:v>
      </x:c>
      <x:c r="D20" s="3"/>
      <x:c r="E20" s="3"/>
      <x:c r="F20" s="3"/>
      <x:c r="G20" s="3"/>
      <x:c r="H20" s="3"/>
      <x:c r="I20" s="3"/>
      <x:c r="J20" s="3"/>
      <x:c r="K20" s="3"/>
    </x:row>
    <x:row r="21" ht="42" customHeight="1">
      <x:c r="A21" s="13" t="str">
        <x:v>PER 상단 Q3</x:v>
      </x:c>
      <x:c r="B21" s="50" t="n">
        <x:f>IF(B18="정상",QUARTILE(J6:J13,3),"n.a.")</x:f>
        <x:v>23.5</x:v>
      </x:c>
      <x:c r="C21" s="3" t="str">
        <x:v>배</x:v>
      </x:c>
      <x:c r="D21" s="3"/>
      <x:c r="E21" s="3" t="str">
        <x:v>하단·상단 PER</x:v>
      </x:c>
      <x:c r="F21" s="13" t="str">
        <x:v>선택·검증을 통과한 PER의 Q1과 Q3. QUARTILE은 포괄적 사분위수 방식</x:v>
      </x:c>
      <x:c r="G21" s="13"/>
      <x:c r="H21" s="13"/>
      <x:c r="I21" s="13"/>
      <x:c r="J21" s="13"/>
      <x:c r="K21" s="13"/>
    </x:row>
    <x:row r="22" ht="42" customHeight="1">
      <x:c r="A22" s="13"/>
      <x:c r="B22" s="51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42" customHeight="1">
      <x:c r="A23" s="13" t="str">
        <x:v>정상화 귀속 이익</x:v>
      </x:c>
      <x:c r="B23" s="49" t="n">
        <x:f>IF(AND(ISNUMBER('01_입력설정'!B46),ISNUMBER('01_입력설정'!B54)),'01_입력설정'!B46+'01_입력설정'!B54,"n.a.")</x:f>
        <x:v>12000000000</x:v>
      </x:c>
      <x:c r="C23" s="3" t="str">
        <x:v>원</x:v>
      </x:c>
      <x:c r="D23" s="3"/>
      <x:c r="E23" s="3" t="str">
        <x:v>PER 가중 방식</x:v>
      </x:c>
      <x:c r="F23" s="13" t="str">
        <x:v>선택된 비교기업의 PER은 동일 가중. 유사도 가중치를 PER에 다시 적용하지 않음</x:v>
      </x:c>
      <x:c r="G23" s="13"/>
      <x:c r="H23" s="13"/>
      <x:c r="I23" s="13"/>
      <x:c r="J23" s="13"/>
      <x:c r="K23" s="13"/>
    </x:row>
    <x:row r="24" ht="42" customHeight="1">
      <x:c r="A24" s="13" t="str">
        <x:v>IPO 전 주식수</x:v>
      </x:c>
      <x:c r="B24" s="49" t="n">
        <x:f>IF(ISNUMBER('01_입력설정'!B47),'01_입력설정'!B47,"")</x:f>
        <x:v>10000000</x:v>
      </x:c>
      <x:c r="C24" s="3" t="str">
        <x:v>주</x:v>
      </x:c>
      <x:c r="D24" s="3"/>
      <x:c r="E24" s="3"/>
      <x:c r="F24" s="3"/>
      <x:c r="G24" s="3"/>
      <x:c r="H24" s="3"/>
      <x:c r="I24" s="3"/>
      <x:c r="J24" s="3"/>
      <x:c r="K24" s="3"/>
    </x:row>
    <x:row r="25" ht="42" customHeight="1">
      <x:c r="A25" s="13" t="str">
        <x:v>신주 발행 수</x:v>
      </x:c>
      <x:c r="B25" s="49" t="n">
        <x:f>IF(ISNUMBER('01_입력설정'!B48),'01_입력설정'!B48,"")</x:f>
        <x:v>2000000</x:v>
      </x:c>
      <x:c r="C25" s="3" t="str">
        <x:v>주</x:v>
      </x:c>
      <x:c r="D25" s="3"/>
      <x:c r="E25" s="3" t="str">
        <x:v>EPS</x:v>
      </x:c>
      <x:c r="F25" s="13" t="str">
        <x:v>정상화 이익 ÷ (IPO 전 주식수 + 신주 + 추가 희석)</x:v>
      </x:c>
      <x:c r="G25" s="13"/>
      <x:c r="H25" s="13"/>
      <x:c r="I25" s="13"/>
      <x:c r="J25" s="13"/>
      <x:c r="K25" s="13"/>
    </x:row>
    <x:row r="26" ht="42" customHeight="1">
      <x:c r="A26" s="13" t="str">
        <x:v>추가 희석 주식수</x:v>
      </x:c>
      <x:c r="B26" s="49" t="n">
        <x:f>IF(ISNUMBER('01_입력설정'!B50),'01_입력설정'!B50,"")</x:f>
        <x:v>0</x:v>
      </x:c>
      <x:c r="C26" s="3" t="str">
        <x:v>주</x:v>
      </x:c>
      <x:c r="D26" s="3"/>
      <x:c r="E26" s="3"/>
      <x:c r="F26" s="3"/>
      <x:c r="G26" s="3"/>
      <x:c r="H26" s="3"/>
      <x:c r="I26" s="3"/>
      <x:c r="J26" s="3"/>
      <x:c r="K26" s="3"/>
    </x:row>
    <x:row r="27" ht="42" customHeight="1">
      <x:c r="A27" s="13" t="str">
        <x:v>IPO 후 평가 주식수</x:v>
      </x:c>
      <x:c r="B27" s="48" t="n">
        <x:f>IF(AND(COUNT(B24:B26)=3,B24&gt;0,MIN(B25:B26)&gt;=0),SUM(B24:B26),"n.a.")</x:f>
        <x:v>12000000</x:v>
      </x:c>
      <x:c r="C27" s="3" t="str">
        <x:v>주</x:v>
      </x:c>
      <x:c r="D27" s="3"/>
      <x:c r="E27" s="3" t="str">
        <x:v>분모의 의미</x:v>
      </x:c>
      <x:c r="F27" s="13" t="str">
        <x:v>평가용 단순 희석 EPS. 회계상 가중평균 주식수를 쓰는 공시 EPS와 다름</x:v>
      </x:c>
      <x:c r="G27" s="13"/>
      <x:c r="H27" s="13"/>
      <x:c r="I27" s="13"/>
      <x:c r="J27" s="13"/>
      <x:c r="K27" s="13"/>
    </x:row>
    <x:row r="28" ht="42" customHeight="1">
      <x:c r="A28" s="13" t="str">
        <x:v>평가용 EPS</x:v>
      </x:c>
      <x:c r="B28" s="52" t="n">
        <x:f>IF(AND(ISNUMBER(B23),B23&gt;0,ISNUMBER(B27),B27&gt;0),B23/B27,"n.a.")</x:f>
        <x:v>1000</x:v>
      </x:c>
      <x:c r="C28" s="3" t="str">
        <x:v>원/주</x:v>
      </x:c>
      <x:c r="D28" s="3"/>
      <x:c r="E28" s="3"/>
      <x:c r="F28" s="3"/>
      <x:c r="G28" s="3"/>
      <x:c r="H28" s="3"/>
      <x:c r="I28" s="3"/>
      <x:c r="J28" s="3"/>
      <x:c r="K28" s="3"/>
    </x:row>
    <x:row r="29" ht="62" customHeight="1">
      <x:c r="A29" s="13" t="str">
        <x:v>평가 입력 상태</x:v>
      </x:c>
      <x:c r="B29" s="49" t="str">
        <x:f>IF(AND(COUNT(B24:B26)=3,ISNUMBER('01_입력설정'!B49)),IF(AND(ISNUMBER(B28),COUNT('01_입력설정'!B29:B31)=3,'01_입력설정'!B29&gt;='01_입력설정'!B30,'01_입력설정'!B30&gt;=0,'01_입력설정'!B29&lt;1,'01_입력설정'!B31&gt;0,'01_입력설정'!B49&gt;=0,'01_입력설정'!B49&lt;=B24,MOD(B24,1)=0,MOD(B25,1)=0,MOD(B26,1)=0,MOD('01_입력설정'!B49,1)=0,OR('01_입력설정'!B12="예시",AND('01_입력설정'!B12="확정",'01_입력설정'!B51="확정",'01_입력설정'!B52="확정"))),"정상","이익·주식수·할인·상태 확인"),"주식수 입력 확인")</x:f>
        <x:v>정상</x:v>
      </x:c>
      <x:c r="C29" s="3" t="str">
        <x:v>상태</x:v>
      </x:c>
      <x:c r="D29" s="3"/>
      <x:c r="E29" s="3" t="str">
        <x:v>구주 매출</x:v>
      </x:c>
      <x:c r="F29" s="13" t="str">
        <x:v>총 공모금액에는 포함. IPO 후 총주식수와 회사 유입액에는 포함하지 않음</x:v>
      </x:c>
      <x:c r="G29" s="13"/>
      <x:c r="H29" s="13"/>
      <x:c r="I29" s="13"/>
      <x:c r="J29" s="13"/>
      <x:c r="K29" s="13"/>
    </x:row>
    <x:row r="30" ht="42" customHeight="1">
      <x:c r="A30" s="13"/>
      <x:c r="B30" s="51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42" customHeight="1">
      <x:c r="A31" s="13" t="str">
        <x:v>평가가 하단 (할인 전)</x:v>
      </x:c>
      <x:c r="B31" s="52" t="n">
        <x:f>IF(AND(B18="정상",B29="정상"),B28*B19,"n.a.")</x:f>
        <x:v>20500</x:v>
      </x:c>
      <x:c r="C31" s="3" t="str">
        <x:v>원/주</x:v>
      </x:c>
      <x:c r="D31" s="3"/>
      <x:c r="E31" s="3" t="str">
        <x:v>신주 자금</x:v>
      </x:c>
      <x:c r="F31" s="13" t="str">
        <x:v>추가 이익 발생이나 현금의 별도 가산을 가정하지 않음</x:v>
      </x:c>
      <x:c r="G31" s="13"/>
      <x:c r="H31" s="13"/>
      <x:c r="I31" s="13"/>
      <x:c r="J31" s="13"/>
      <x:c r="K31" s="13"/>
    </x:row>
    <x:row r="32" ht="42" customHeight="1">
      <x:c r="A32" s="13" t="str">
        <x:v>평가가 상단 (할인 전)</x:v>
      </x:c>
      <x:c r="B32" s="52" t="n">
        <x:f>IF(AND(B18="정상",B29="정상"),B28*B21,"n.a.")</x:f>
        <x:v>23500</x:v>
      </x:c>
      <x:c r="C32" s="3" t="str">
        <x:v>원/주</x:v>
      </x:c>
      <x:c r="D32" s="3"/>
      <x:c r="E32" s="3"/>
      <x:c r="F32" s="3"/>
      <x:c r="G32" s="3"/>
      <x:c r="H32" s="3"/>
      <x:c r="I32" s="3"/>
      <x:c r="J32" s="3"/>
      <x:c r="K32" s="3"/>
    </x:row>
    <x:row r="33" ht="42" customHeight="1">
      <x:c r="A33" s="13"/>
      <x:c r="B33" s="53"/>
      <x:c r="C33" s="3"/>
      <x:c r="D33" s="3"/>
      <x:c r="E33" s="3" t="str">
        <x:v>밴드 해석</x:v>
      </x:c>
      <x:c r="F33" s="13" t="str">
        <x:v>PER 분포와 할인율을 조합한 예시 범위. 통계적 신뢰구간이 아님</x:v>
      </x:c>
      <x:c r="G33" s="13"/>
      <x:c r="H33" s="13"/>
      <x:c r="I33" s="13"/>
      <x:c r="J33" s="13"/>
      <x:c r="K33" s="13"/>
    </x:row>
    <x:row r="34" ht="42" customHeight="1">
      <x:c r="A34" s="54" t="str">
        <x:v>공모가 하단 (절사 후)</x:v>
      </x:c>
      <x:c r="B34" s="55" t="n">
        <x:f>IF(ISNUMBER(B31),ROUNDDOWN(B31*(1-'01_입력설정'!B29)/'01_입력설정'!B31,0)*'01_입력설정'!B31,"n.a.")</x:f>
        <x:v>14300</x:v>
      </x:c>
      <x:c r="C34" s="46" t="str">
        <x:v>원/주</x:v>
      </x:c>
      <x:c r="D34" s="3"/>
      <x:c r="E34" s="3"/>
      <x:c r="F34" s="3"/>
      <x:c r="G34" s="3"/>
      <x:c r="H34" s="3"/>
      <x:c r="I34" s="3"/>
      <x:c r="J34" s="3"/>
      <x:c r="K34" s="3"/>
    </x:row>
    <x:row r="35" ht="42" customHeight="1">
      <x:c r="A35" s="54" t="str">
        <x:v>공모가 상단 (절사 후)</x:v>
      </x:c>
      <x:c r="B35" s="55" t="n">
        <x:f>IF(ISNUMBER(B32),ROUNDDOWN(B32*(1-'01_입력설정'!B30)/'01_입력설정'!B31,0)*'01_입력설정'!B31,"n.a.")</x:f>
        <x:v>19900</x:v>
      </x:c>
      <x:c r="C35" s="46" t="str">
        <x:v>원/주</x:v>
      </x:c>
      <x:c r="D35" s="3"/>
      <x:c r="E35" s="3" t="str">
        <x:v>비교가능성</x:v>
      </x:c>
      <x:c r="F35" s="13" t="str">
        <x:v>기간·통화·연결 기준·주식종류·정상화 조정의 일관성 확인</x:v>
      </x:c>
      <x:c r="G35" s="13"/>
      <x:c r="H35" s="13"/>
      <x:c r="I35" s="13"/>
      <x:c r="J35" s="13"/>
      <x:c r="K35" s="13"/>
    </x:row>
    <x:row r="36" ht="42" customHeight="1">
      <x:c r="A36" s="13"/>
      <x:c r="B36" s="51"/>
      <x:c r="C36" s="3"/>
      <x:c r="D36" s="3"/>
      <x:c r="E36" s="3"/>
      <x:c r="F36" s="3"/>
      <x:c r="G36" s="3"/>
      <x:c r="H36" s="3"/>
      <x:c r="I36" s="3"/>
      <x:c r="J36" s="3"/>
      <x:c r="K36" s="3"/>
    </x:row>
    <x:row r="37" ht="42" customHeight="1">
      <x:c r="A37" s="13" t="str">
        <x:v>총 공모 주식수</x:v>
      </x:c>
      <x:c r="B37" s="49" t="n">
        <x:f>IF(B29="정상",B25+'01_입력설정'!B49,"n.a.")</x:f>
        <x:v>2500000</x:v>
      </x:c>
      <x:c r="C37" s="3" t="str">
        <x:v>주</x:v>
      </x:c>
      <x:c r="D37" s="3"/>
      <x:c r="E37" s="3" t="str">
        <x:v>n.a. 처리</x:v>
      </x:c>
      <x:c r="F37" s="13" t="str">
        <x:v>적자/0 이익, 근거 부족, 비교기업 부족, 잘못된 입력은 산출 보류</x:v>
      </x:c>
      <x:c r="G37" s="13"/>
      <x:c r="H37" s="13"/>
      <x:c r="I37" s="13"/>
      <x:c r="J37" s="13"/>
      <x:c r="K37" s="13"/>
    </x:row>
    <x:row r="38" ht="42" customHeight="1">
      <x:c r="A38" s="13" t="str">
        <x:v>공모금액 하단</x:v>
      </x:c>
      <x:c r="B38" s="48" t="n">
        <x:f>IF(AND(ISNUMBER(B34),ISNUMBER(B37)),B34*B37,"n.a.")</x:f>
        <x:v>35750000000</x:v>
      </x:c>
      <x:c r="C38" s="3" t="str">
        <x:v>원</x:v>
      </x:c>
      <x:c r="D38" s="3"/>
      <x:c r="E38" s="3"/>
      <x:c r="F38" s="3"/>
      <x:c r="G38" s="3"/>
      <x:c r="H38" s="3"/>
      <x:c r="I38" s="3"/>
      <x:c r="J38" s="3"/>
      <x:c r="K38" s="3"/>
    </x:row>
    <x:row r="39" ht="42" customHeight="1">
      <x:c r="A39" s="13" t="str">
        <x:v>공모금액 상단</x:v>
      </x:c>
      <x:c r="B39" s="48" t="n">
        <x:f>IF(AND(ISNUMBER(B35),ISNUMBER(B37)),B35*B37,"n.a.")</x:f>
        <x:v>49750000000</x:v>
      </x:c>
      <x:c r="C39" s="3" t="str">
        <x:v>원</x:v>
      </x:c>
      <x:c r="D39" s="3"/>
      <x:c r="E39" s="3" t="str">
        <x:v>반올림</x:v>
      </x:c>
      <x:c r="F39" s="13" t="str">
        <x:v>할인 후 100원 단위 내림이 기본 예시. 최소·최대 할인율을 뒤바꾸지 않음</x:v>
      </x:c>
      <x:c r="G39" s="13"/>
      <x:c r="H39" s="13"/>
      <x:c r="I39" s="13"/>
      <x:c r="J39" s="13"/>
      <x:c r="K39" s="13"/>
    </x:row>
    <x:row r="40" ht="42" customHeight="1">
      <x:c r="A40" s="13" t="str">
        <x:v>회사 신주 유입액 하단</x:v>
      </x:c>
      <x:c r="B40" s="48" t="n">
        <x:f>IF(ISNUMBER(B34),B34*B25,"n.a.")</x:f>
        <x:v>28600000000</x:v>
      </x:c>
      <x:c r="C40" s="3" t="str">
        <x:v>원</x:v>
      </x:c>
      <x:c r="D40" s="3"/>
      <x:c r="E40" s="3"/>
      <x:c r="F40" s="3"/>
      <x:c r="G40" s="3"/>
      <x:c r="H40" s="3"/>
      <x:c r="I40" s="3"/>
      <x:c r="J40" s="3"/>
      <x:c r="K40" s="3"/>
    </x:row>
    <x:row r="41" ht="42" customHeight="1">
      <x:c r="A41" s="13" t="str">
        <x:v>회사 신주 유입액 상단</x:v>
      </x:c>
      <x:c r="B41" s="48" t="n">
        <x:f>IF(ISNUMBER(B35),B35*B25,"n.a.")</x:f>
        <x:v>39800000000</x:v>
      </x:c>
      <x:c r="C41" s="3" t="str">
        <x:v>원</x:v>
      </x:c>
      <x:c r="D41" s="3"/>
      <x:c r="E41" s="3" t="str">
        <x:v>금액 범위</x:v>
      </x:c>
      <x:c r="F41" s="13" t="str">
        <x:v>공모·신주 유입액은 비용 공제 전. 수수료·세금·실권·초과배정은 별도 검토</x:v>
      </x:c>
      <x:c r="G41" s="13"/>
      <x:c r="H41" s="13"/>
      <x:c r="I41" s="13"/>
      <x:c r="J41" s="13"/>
      <x:c r="K41" s="1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F17:K17"/>
    <x:mergeCell ref="F19:K19"/>
    <x:mergeCell ref="F21:K21"/>
    <x:mergeCell ref="F23:K23"/>
    <x:mergeCell ref="F25:K25"/>
    <x:mergeCell ref="F27:K27"/>
    <x:mergeCell ref="F29:K29"/>
    <x:mergeCell ref="F31:K31"/>
    <x:mergeCell ref="F33:K33"/>
    <x:mergeCell ref="F35:K35"/>
    <x:mergeCell ref="F37:K37"/>
    <x:mergeCell ref="F39:K39"/>
    <x:mergeCell ref="F41:K41"/>
  </x:mergeCells>
  <x:conditionalFormatting sqref="K6:K13">
    <x:cfRule type="containsText" dxfId="2" priority="1" operator="containsText" text="확인"/>
  </x:conditionalFormatting>
  <x:conditionalFormatting sqref="B18:B29">
    <x:cfRule type="containsText" dxfId="3" priority="2" operator="containsText" text="확인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45" hidden="0" customWidth="1"/>
    <x:col min="4" max="4" width="61" hidden="0" customWidth="1"/>
    <x:col min="5" max="5" width="45" hidden="0" customWidth="1"/>
    <x:col min="6" max="6" width="39" hidden="0" customWidth="1"/>
    <x:col min="7" max="7" width="44" hidden="0" customWidth="1"/>
    <x:col min="8" max="8" width="49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25" customHeight="1">
      <x:c r="A2" s="5" t="str">
        <x:v>8단계 파이프라인 상세 설계</x:v>
      </x:c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원문 흐름을 8단계로 구성했습니다. 구체적인 수치·규칙은 구현을 위한 제안이며 확정 사항이 아닙니다.</x:v>
      </x:c>
      <x:c r="B3" s="6"/>
      <x:c r="C3" s="6"/>
      <x:c r="D3" s="6"/>
      <x:c r="E3" s="6"/>
      <x:c r="F3" s="6"/>
      <x:c r="G3" s="6"/>
      <x:c r="H3" s="6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12" t="str">
        <x:v>단계</x:v>
      </x:c>
      <x:c r="B5" s="12" t="str">
        <x:v>목적</x:v>
      </x:c>
      <x:c r="C5" s="12" t="str">
        <x:v>불러올 데이터</x:v>
      </x:c>
      <x:c r="D5" s="12" t="str">
        <x:v>처리 방법</x:v>
      </x:c>
      <x:c r="E5" s="12" t="str">
        <x:v>설정 / 파라미터</x:v>
      </x:c>
      <x:c r="F5" s="12" t="str">
        <x:v>출력 데이터</x:v>
      </x:c>
      <x:c r="G5" s="12" t="str">
        <x:v>사용자 화면 / 행동</x:v>
      </x:c>
      <x:c r="H5" s="12" t="str">
        <x:v>검증 / 예외</x:v>
      </x:c>
    </x:row>
    <x:row r="6" ht="90" customHeight="1">
      <x:c r="A6" s="13" t="n">
        <x:v>1</x:v>
      </x:c>
      <x:c r="B6" s="13" t="str">
        <x:v>산업·대상기업 선택</x:v>
      </x:c>
      <x:c r="C6" s="13" t="str">
        <x:v>산업명·설명, 기업 ID·명칭, 상장시장, 보고기간, 평가기준일</x:v>
      </x:c>
      <x:c r="D6" s="13" t="str">
        <x:v>산업 사전과 회사 마스터를 연결. 동명이인·종목코드와 법인 ID를 구분</x:v>
      </x:c>
      <x:c r="E6" s="13" t="str">
        <x:v>시장·국가·통화·기간·연결/별도 기준 고정</x:v>
      </x:c>
      <x:c r="F6" s="13" t="str">
        <x:v>target_company_id, industry_query, run_id</x:v>
      </x:c>
      <x:c r="G6" s="13" t="str">
        <x:v>산업과 대상기업 선택. 기간·재무 기준 확인</x:v>
      </x:c>
      <x:c r="H6" s="13" t="str">
        <x:v>대상기업 중복·존재 여부 확인. 비상장 재무자료가 없으면 사용자 자료 요청</x:v>
      </x:c>
    </x:row>
    <x:row r="7" ht="90" customHeight="1">
      <x:c r="A7" s="21" t="n">
        <x:v>2</x:v>
      </x:c>
      <x:c r="B7" s="21" t="str">
        <x:v>산업 유사도 1차 필터</x:v>
      </x:c>
      <x:c r="C7" s="21" t="str">
        <x:v>후보 전체의 산업명·사업 분류·산업 설명, 회사 ID</x:v>
      </x:c>
      <x:c r="D7" s="21" t="str">
        <x:v>산업 텍스트만 임베딩. 코사인 유사도로 탐색한 뒤 임계값과 상한 N 적용</x:v>
      </x:c>
      <x:c r="E7" s="21" t="str">
        <x:v>산업 임계값 0.70 / 상위 100개 (예시). 동일 모델·차원</x:v>
      </x:c>
      <x:c r="F7" s="21" t="str">
        <x:v>산업 후보 ID 목록, 산업 점수, 제외 이유</x:v>
      </x:c>
      <x:c r="G7" s="21" t="str">
        <x:v>산업 후보 수와 산업 설명 표시</x:v>
      </x:c>
      <x:c r="H7" s="21" t="str">
        <x:v>회사 전체 프로필을 산업 벡터에 혼합하지 않음. 대상기업 자신 제외</x:v>
      </x:c>
    </x:row>
    <x:row r="8" ht="90" customHeight="1">
      <x:c r="A8" s="13" t="n">
        <x:v>3</x:v>
      </x:c>
      <x:c r="B8" s="13" t="str">
        <x:v>대상기업 프로필 작성</x:v>
      </x:c>
      <x:c r="C8" s="13" t="str">
        <x:v>사업보고서 사업의 내용, IR, 재무제표, 위험요인, 주석</x:v>
      </x:c>
      <x:c r="D8" s="13" t="str">
        <x:v>필드별 RAG 검색. LLM이 비즈니스·성장·리스크·재무를 JSON으로 작성. 각 주장에 근거 연결</x:v>
      </x:c>
      <x:c r="E8" s="13" t="str">
        <x:v>청크 800 / 중복 120 / 검색 8 / 재정렬 5 / temperature 0 (예시)</x:v>
      </x:c>
      <x:c r="F8" s="13" t="str">
        <x:v>대상기업 프로필, 필드별 상태·원문 위치·수치·기간</x:v>
      </x:c>
      <x:c r="G8" s="13" t="str">
        <x:v>프로필과 출처를 보여주고 누락·오류를 사용자가 수정</x:v>
      </x:c>
      <x:c r="H8" s="13" t="str">
        <x:v>근거 없으면 null/미확인. 수치와 기간을 임의 추정하지 않음</x:v>
      </x:c>
    </x:row>
    <x:row r="9" ht="90" customHeight="1">
      <x:c r="A9" s="21" t="n">
        <x:v>4</x:v>
      </x:c>
      <x:c r="B9" s="21" t="str">
        <x:v>영역 가중치 설정</x:v>
      </x:c>
      <x:c r="C9" s="21" t="str">
        <x:v>비즈니스모델·성장성·리스크·재무의 4개 가중치</x:v>
      </x:c>
      <x:c r="D9" s="21" t="str">
        <x:v>0 이상인지 확인하고 합계 100% 검증. 변경 시 기존 점수의 가중평균 재계산</x:v>
      </x:c>
      <x:c r="E9" s="21" t="str">
        <x:v>40% / 25% / 20% / 15% (예시). 합계 오류는 중단</x:v>
      </x:c>
      <x:c r="F9" s="21" t="str">
        <x:v>버전이 있는 user_weights</x:v>
      </x:c>
      <x:c r="G9" s="21" t="str">
        <x:v>슬라이더/숫자 입력. 합계와 예상 순위 변화 표시</x:v>
      </x:c>
      <x:c r="H9" s="21" t="str">
        <x:v>가중치 변경에는 RAG 재검색 불필요. 임의 자동 정규화하지 않음</x:v>
      </x:c>
    </x:row>
    <x:row r="10" ht="90" customHeight="1">
      <x:c r="A10" s="13" t="n">
        <x:v>5</x:v>
      </x:c>
      <x:c r="B10" s="13" t="str">
        <x:v>BM 유사도 2차 필터</x:v>
      </x:c>
      <x:c r="C10" s="13" t="str">
        <x:v>대상기업 BM 프로필, 1차 후보의 간략 BM 정보·근거</x:v>
      </x:c>
      <x:c r="D10" s="13" t="str">
        <x:v>대상 프로필을 임베딩·색인. 후보의 제품·고객·수익구조·채널로 BM 벡터 생성 후 비교</x:v>
      </x:c>
      <x:c r="E10" s="13" t="str">
        <x:v>BM 임계값 0.75 / 상위 30개 (예시). 산업 통과 기업 내 재순위</x:v>
      </x:c>
      <x:c r="F10" s="13" t="str">
        <x:v>BM 후보 ID, 코사인 점수, 필터 근거</x:v>
      </x:c>
      <x:c r="G10" s="13" t="str">
        <x:v>후보 수와 탈락 이유 표시. 임계값 수정 가능</x:v>
      </x:c>
      <x:c r="H10" s="13" t="str">
        <x:v>RAG의 학습은 모델 재학습이 아니라 문서·프로필의 임베딩 및 색인 갱신</x:v>
      </x:c>
    </x:row>
    <x:row r="11" ht="90" customHeight="1">
      <x:c r="A11" s="21" t="n">
        <x:v>6</x:v>
      </x:c>
      <x:c r="B11" s="21" t="str">
        <x:v>후보 프로필·점수·순위</x:v>
      </x:c>
      <x:c r="C11" s="21" t="str">
        <x:v>2차 통과 후보의 동일 스키마 프로필, 원문, 성장률·이익률·부채비율</x:v>
      </x:c>
      <x:c r="D11" s="21" t="str">
        <x:v>대상기업과 같은 RAG 규칙으로 전체 프로필 작성. 영역 점수 0~100 산출, 가중평균 내림차순</x:v>
      </x:c>
      <x:c r="E11" s="21" t="str">
        <x:v>근거 충족률 80% 이상 (예시). 완전성 정책 및 동점 규칙 고정</x:v>
      </x:c>
      <x:c r="F11" s="21" t="str">
        <x:v>영역별 점수, 총점, 순위, 유사·차이 이유, evidence_ids</x:v>
      </x:c>
      <x:c r="G11" s="21" t="str">
        <x:v>영역 점수·출처·누락 상태를 비교. 가중치 재설정</x:v>
      </x:c>
      <x:c r="H11" s="21" t="str">
        <x:v>높은 리스크 유사도는 안전함을 의미하지 않음. 근거 부족은 보류</x:v>
      </x:c>
    </x:row>
    <x:row r="12" ht="90" customHeight="1">
      <x:c r="A12" s="13" t="n">
        <x:v>7</x:v>
      </x:c>
      <x:c r="B12" s="13" t="str">
        <x:v>PER 비교기업 사용자 선택</x:v>
      </x:c>
      <x:c r="C12" s="13" t="str">
        <x:v>순위·전체 프로필·점수·시가총액·정상화 이익·기간·주식종류</x:v>
      </x:c>
      <x:c r="D12" s="13" t="str">
        <x:v>사용자가 선택. 적자·PER 상한·기간 불일치·미검증·중복을 검토해 최종 모집단 확정</x:v>
      </x:c>
      <x:c r="E12" s="13" t="str">
        <x:v>최소 3개 / PER 상한 60배 (예시). 제외 사유 저장</x:v>
      </x:c>
      <x:c r="F12" s="13" t="str">
        <x:v>selected_peers, 포함 PER, 선택자·선택시각·사유</x:v>
      </x:c>
      <x:c r="G12" s="13" t="str">
        <x:v>체크박스 선택/해제. 자동 추천과 최종 사용자 선택을 분리</x:v>
      </x:c>
      <x:c r="H12" s="13" t="str">
        <x:v>순위가 높아도 PER 부적격일 수 있음. 선택=1이 최종 포함을 보장하지 않음</x:v>
      </x:c>
    </x:row>
    <x:row r="13" ht="90" customHeight="1">
      <x:c r="A13" s="21" t="n">
        <x:v>8</x:v>
      </x:c>
      <x:c r="B13" s="21" t="str">
        <x:v>IPO PER 공모가 밴드</x:v>
      </x:c>
      <x:c r="C13" s="21" t="str">
        <x:v>대상기업 귀속 이익·조정액, 기존 주식수, 신주·구주·희석, 최종 비교기업 PER</x:v>
      </x:c>
      <x:c r="D13" s="21" t="str">
        <x:v>PER Q1/Q3 → 희석 EPS 곱하기 → 하단/상단 할인 → 가격 단위 절사. 공모금액 계산</x:v>
      </x:c>
      <x:c r="E13" s="21" t="str">
        <x:v>하단 30%·상단 15% 할인 / 100원 내림 (예시)</x:v>
      </x:c>
      <x:c r="F13" s="21" t="str">
        <x:v>평가가 밴드, 공모가 밴드, 총 공모금액, 회사 신주 유입액</x:v>
      </x:c>
      <x:c r="G13" s="21" t="str">
        <x:v>신주·구주 수를 입력하고 결과·근거·가정을 확인</x:v>
      </x:c>
      <x:c r="H13" s="21" t="str">
        <x:v>구주는 분모 증가 없음. 이익≤0 또는 최소기업수 미달 시 PER 밴드 보류</x:v>
      </x:c>
    </x:row>
    <x:row r="14" ht="25" customHeight="1">
      <x:c r="A14" s="3"/>
      <x:c r="B14" s="3"/>
      <x:c r="C14" s="3"/>
      <x:c r="D14" s="3"/>
      <x:c r="E14" s="3"/>
      <x:c r="F14" s="3"/>
      <x:c r="G14" s="3"/>
      <x:c r="H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</x:row>
  </x:sheetData>
  <x:pageMargins left="0.7" right="0.7" top="0.75" bottom="0.75" header="0.3" footer="0.3"/>
  <x:tableParts count="1">
    <x:tablePart xmlns:r="http://schemas.openxmlformats.org/officeDocument/2006/relationships" r:id="R4d2d061139b149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15" hidden="0" customWidth="1"/>
    <x:col min="5" max="5" width="15" hidden="0" customWidth="1"/>
    <x:col min="6" max="6" width="16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3" hidden="0" customWidth="1"/>
    <x:col min="13" max="13" width="18" hidden="0" customWidth="1"/>
    <x:col min="14" max="14" width="30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5" t="str">
        <x:v>기업 입력 · 모든 기업과 수치는 가상 예시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벡터 검색은 외부에서 실행합니다. D:E·G열에는 원시 코사인을 입력합니다.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12" t="str">
        <x:v>기업 ID</x:v>
      </x:c>
      <x:c r="B5" s="12" t="str">
        <x:v>기업명</x:v>
      </x:c>
      <x:c r="C5" s="12" t="str">
        <x:v>산업 설명</x:v>
      </x:c>
      <x:c r="D5" s="12" t="str">
        <x:v>산업 코사인</x:v>
      </x:c>
      <x:c r="E5" s="12" t="str">
        <x:v>BM 코사인</x:v>
      </x:c>
      <x:c r="F5" s="12" t="str">
        <x:v>매출 성장률</x:v>
      </x:c>
      <x:c r="G5" s="12" t="str">
        <x:v>리스크 코사인</x:v>
      </x:c>
      <x:c r="H5" s="12" t="str">
        <x:v>영업이익률</x:v>
      </x:c>
      <x:c r="I5" s="12" t="str">
        <x:v>부채 / 자산</x:v>
      </x:c>
      <x:c r="J5" s="12" t="str">
        <x:v>근거 충족률</x:v>
      </x:c>
      <x:c r="K5" s="12" t="str">
        <x:v>근거 검증 상태</x:v>
      </x:c>
      <x:c r="L5" s="12" t="str">
        <x:v>원천 / 근거 위치</x:v>
      </x:c>
      <x:c r="M5" s="12" t="str">
        <x:v>공개일 / 기준일</x:v>
      </x:c>
      <x:c r="N5" s="12" t="str">
        <x:v>검토 메모</x:v>
      </x:c>
    </x:row>
    <x:row r="6" ht="42" customHeight="1">
      <x:c r="A6" s="23" t="str">
        <x:v>TGT</x:v>
      </x:c>
      <x:c r="B6" s="23" t="str">
        <x:v>예시테크</x:v>
      </x:c>
      <x:c r="C6" s="23" t="str">
        <x:v>B2B 업무용 SaaS</x:v>
      </x:c>
      <x:c r="D6" s="24" t="n">
        <x:v>1</x:v>
      </x:c>
      <x:c r="E6" s="24" t="n">
        <x:v>1</x:v>
      </x:c>
      <x:c r="F6" s="25" t="n">
        <x:v>0.25</x:v>
      </x:c>
      <x:c r="G6" s="24" t="n">
        <x:v>1</x:v>
      </x:c>
      <x:c r="H6" s="25" t="n">
        <x:v>0.15</x:v>
      </x:c>
      <x:c r="I6" s="25" t="n">
        <x:v>0.4</x:v>
      </x:c>
      <x:c r="J6" s="25" t="n">
        <x:v>1</x:v>
      </x:c>
      <x:c r="K6" s="23" t="str">
        <x:v>예시</x:v>
      </x:c>
      <x:c r="L6" s="23" t="str">
        <x:v>가상 예시 / 실공시 없음</x:v>
      </x:c>
      <x:c r="M6" s="26" t="d">
        <x:v>2026-10-08T00:00:00.000Z</x:v>
      </x:c>
      <x:c r="N6" s="23" t="str">
        <x:v>대상기업 기준행</x:v>
      </x:c>
    </x:row>
    <x:row r="7" ht="42" customHeight="1">
      <x:c r="A7" s="23" t="str">
        <x:v>P01</x:v>
      </x:c>
      <x:c r="B7" s="23" t="str">
        <x:v>가상 알파</x:v>
      </x:c>
      <x:c r="C7" s="23" t="str">
        <x:v>B2B 업무용 SaaS</x:v>
      </x:c>
      <x:c r="D7" s="24" t="n">
        <x:v>0.94</x:v>
      </x:c>
      <x:c r="E7" s="24" t="n">
        <x:v>0.93</x:v>
      </x:c>
      <x:c r="F7" s="25" t="n">
        <x:v>0.28</x:v>
      </x:c>
      <x:c r="G7" s="24" t="n">
        <x:v>0.9</x:v>
      </x:c>
      <x:c r="H7" s="25" t="n">
        <x:v>0.18</x:v>
      </x:c>
      <x:c r="I7" s="25" t="n">
        <x:v>0.35</x:v>
      </x:c>
      <x:c r="J7" s="25" t="n">
        <x:v>0.95</x:v>
      </x:c>
      <x:c r="K7" s="23" t="str">
        <x:v>예시</x:v>
      </x:c>
      <x:c r="L7" s="23" t="str">
        <x:v>가상 예시 / 실공시 없음</x:v>
      </x:c>
      <x:c r="M7" s="26" t="d">
        <x:v>2026-10-08T00:00:00.000Z</x:v>
      </x:c>
      <x:c r="N7" s="23" t="str">
        <x:v>구독·직접판매 중심</x:v>
      </x:c>
    </x:row>
    <x:row r="8" ht="42" customHeight="1">
      <x:c r="A8" s="23" t="str">
        <x:v>P02</x:v>
      </x:c>
      <x:c r="B8" s="23" t="str">
        <x:v>가상 베타</x:v>
      </x:c>
      <x:c r="C8" s="23" t="str">
        <x:v>기업 협업 SaaS</x:v>
      </x:c>
      <x:c r="D8" s="24" t="n">
        <x:v>0.89</x:v>
      </x:c>
      <x:c r="E8" s="24" t="n">
        <x:v>0.88</x:v>
      </x:c>
      <x:c r="F8" s="25" t="n">
        <x:v>0.22</x:v>
      </x:c>
      <x:c r="G8" s="24" t="n">
        <x:v>0.85</x:v>
      </x:c>
      <x:c r="H8" s="25" t="n">
        <x:v>0.12</x:v>
      </x:c>
      <x:c r="I8" s="25" t="n">
        <x:v>0.45</x:v>
      </x:c>
      <x:c r="J8" s="25" t="n">
        <x:v>0.9</x:v>
      </x:c>
      <x:c r="K8" s="23" t="str">
        <x:v>예시</x:v>
      </x:c>
      <x:c r="L8" s="23" t="str">
        <x:v>가상 예시 / 실공시 없음</x:v>
      </x:c>
      <x:c r="M8" s="26" t="d">
        <x:v>2026-10-08T00:00:00.000Z</x:v>
      </x:c>
      <x:c r="N8" s="23" t="str">
        <x:v>중소기업 비중 높음</x:v>
      </x:c>
    </x:row>
    <x:row r="9" ht="42" customHeight="1">
      <x:c r="A9" s="23" t="str">
        <x:v>P03</x:v>
      </x:c>
      <x:c r="B9" s="23" t="str">
        <x:v>가상 감마</x:v>
      </x:c>
      <x:c r="C9" s="23" t="str">
        <x:v>기업 데이터 SaaS</x:v>
      </x:c>
      <x:c r="D9" s="24" t="n">
        <x:v>0.87</x:v>
      </x:c>
      <x:c r="E9" s="24" t="n">
        <x:v>0.86</x:v>
      </x:c>
      <x:c r="F9" s="25" t="n">
        <x:v>0.31</x:v>
      </x:c>
      <x:c r="G9" s="24" t="n">
        <x:v>0.88</x:v>
      </x:c>
      <x:c r="H9" s="25" t="n">
        <x:v>0.16</x:v>
      </x:c>
      <x:c r="I9" s="25" t="n">
        <x:v>0.42</x:v>
      </x:c>
      <x:c r="J9" s="25" t="n">
        <x:v>0.93</x:v>
      </x:c>
      <x:c r="K9" s="23" t="str">
        <x:v>예시</x:v>
      </x:c>
      <x:c r="L9" s="23" t="str">
        <x:v>가상 예시 / 실공시 없음</x:v>
      </x:c>
      <x:c r="M9" s="26" t="d">
        <x:v>2026-10-08T00:00:00.000Z</x:v>
      </x:c>
      <x:c r="N9" s="23" t="str">
        <x:v>대기업 고객 비중 높음</x:v>
      </x:c>
    </x:row>
    <x:row r="10" ht="42" customHeight="1">
      <x:c r="A10" s="23" t="str">
        <x:v>P04</x:v>
      </x:c>
      <x:c r="B10" s="23" t="str">
        <x:v>가상 델타</x:v>
      </x:c>
      <x:c r="C10" s="23" t="str">
        <x:v>보안 구독 서비스</x:v>
      </x:c>
      <x:c r="D10" s="24" t="n">
        <x:v>0.82</x:v>
      </x:c>
      <x:c r="E10" s="24" t="n">
        <x:v>0.79</x:v>
      </x:c>
      <x:c r="F10" s="25" t="n">
        <x:v>0.1</x:v>
      </x:c>
      <x:c r="G10" s="24" t="n">
        <x:v>0.72</x:v>
      </x:c>
      <x:c r="H10" s="25" t="n">
        <x:v>0.08</x:v>
      </x:c>
      <x:c r="I10" s="25" t="n">
        <x:v>0.55</x:v>
      </x:c>
      <x:c r="J10" s="25" t="n">
        <x:v>0.85</x:v>
      </x:c>
      <x:c r="K10" s="23" t="str">
        <x:v>예시</x:v>
      </x:c>
      <x:c r="L10" s="23" t="str">
        <x:v>가상 예시 / 실공시 없음</x:v>
      </x:c>
      <x:c r="M10" s="26" t="d">
        <x:v>2026-10-08T00:00:00.000Z</x:v>
      </x:c>
      <x:c r="N10" s="23" t="str">
        <x:v>고객군 차이 검토</x:v>
      </x:c>
    </x:row>
    <x:row r="11" ht="42" customHeight="1">
      <x:c r="A11" s="23" t="str">
        <x:v>P05</x:v>
      </x:c>
      <x:c r="B11" s="23" t="str">
        <x:v>가상 엡실론</x:v>
      </x:c>
      <x:c r="C11" s="23" t="str">
        <x:v>IT 구축 서비스</x:v>
      </x:c>
      <x:c r="D11" s="24" t="n">
        <x:v>0.78</x:v>
      </x:c>
      <x:c r="E11" s="24" t="n">
        <x:v>0.68</x:v>
      </x:c>
      <x:c r="F11" s="25" t="n">
        <x:v>0.18</x:v>
      </x:c>
      <x:c r="G11" s="24" t="n">
        <x:v>0.65</x:v>
      </x:c>
      <x:c r="H11" s="25" t="n">
        <x:v>0.1</x:v>
      </x:c>
      <x:c r="I11" s="25" t="n">
        <x:v>0.5</x:v>
      </x:c>
      <x:c r="J11" s="25" t="n">
        <x:v>0.9</x:v>
      </x:c>
      <x:c r="K11" s="23" t="str">
        <x:v>예시</x:v>
      </x:c>
      <x:c r="L11" s="23" t="str">
        <x:v>가상 예시 / 실공시 없음</x:v>
      </x:c>
      <x:c r="M11" s="26" t="d">
        <x:v>2026-10-08T00:00:00.000Z</x:v>
      </x:c>
      <x:c r="N11" s="23" t="str">
        <x:v>BM 필터 제외 예시</x:v>
      </x:c>
    </x:row>
    <x:row r="12" ht="42" customHeight="1">
      <x:c r="A12" s="23" t="str">
        <x:v>P06</x:v>
      </x:c>
      <x:c r="B12" s="23" t="str">
        <x:v>가상 제타</x:v>
      </x:c>
      <x:c r="C12" s="23" t="str">
        <x:v>산업용 하드웨어</x:v>
      </x:c>
      <x:c r="D12" s="24" t="n">
        <x:v>0.62</x:v>
      </x:c>
      <x:c r="E12" s="24" t="n">
        <x:v>0.55</x:v>
      </x:c>
      <x:c r="F12" s="25" t="n">
        <x:v>0.12</x:v>
      </x:c>
      <x:c r="G12" s="24" t="n">
        <x:v>0.6</x:v>
      </x:c>
      <x:c r="H12" s="25" t="n">
        <x:v>0.09</x:v>
      </x:c>
      <x:c r="I12" s="25" t="n">
        <x:v>0.6</x:v>
      </x:c>
      <x:c r="J12" s="25" t="n">
        <x:v>0.88</x:v>
      </x:c>
      <x:c r="K12" s="23" t="str">
        <x:v>예시</x:v>
      </x:c>
      <x:c r="L12" s="23" t="str">
        <x:v>가상 예시 / 실공시 없음</x:v>
      </x:c>
      <x:c r="M12" s="26" t="d">
        <x:v>2026-10-08T00:00:00.000Z</x:v>
      </x:c>
      <x:c r="N12" s="23" t="str">
        <x:v>산업 필터 제외 예시</x:v>
      </x:c>
    </x:row>
    <x:row r="13" ht="42" customHeight="1">
      <x:c r="A13" s="23" t="str">
        <x:v>P07</x:v>
      </x:c>
      <x:c r="B13" s="23" t="str">
        <x:v>가상 에타</x:v>
      </x:c>
      <x:c r="C13" s="23" t="str">
        <x:v>B2B 업무용 SaaS</x:v>
      </x:c>
      <x:c r="D13" s="24" t="n">
        <x:v>0.9</x:v>
      </x:c>
      <x:c r="E13" s="24" t="n">
        <x:v>0.91</x:v>
      </x:c>
      <x:c r="F13" s="25" t="n">
        <x:v>0.35</x:v>
      </x:c>
      <x:c r="G13" s="24" t="n">
        <x:v>0.84</x:v>
      </x:c>
      <x:c r="H13" s="25" t="n">
        <x:v>0.05</x:v>
      </x:c>
      <x:c r="I13" s="25" t="n">
        <x:v>0.48</x:v>
      </x:c>
      <x:c r="J13" s="25" t="n">
        <x:v>0.95</x:v>
      </x:c>
      <x:c r="K13" s="23" t="str">
        <x:v>예시</x:v>
      </x:c>
      <x:c r="L13" s="23" t="str">
        <x:v>가상 예시 / 실공시 없음</x:v>
      </x:c>
      <x:c r="M13" s="26" t="d">
        <x:v>2026-10-08T00:00:00.000Z</x:v>
      </x:c>
      <x:c r="N13" s="23" t="str">
        <x:v>적자로 PER 제외 예시</x:v>
      </x:c>
    </x:row>
    <x:row r="14" ht="42" customHeight="1">
      <x:c r="A14" s="23" t="str">
        <x:v>P08</x:v>
      </x:c>
      <x:c r="B14" s="23" t="str">
        <x:v>가상 세타</x:v>
      </x:c>
      <x:c r="C14" s="23" t="str">
        <x:v>B2B 업무용 SaaS</x:v>
      </x:c>
      <x:c r="D14" s="24" t="n">
        <x:v>0.88</x:v>
      </x:c>
      <x:c r="E14" s="24" t="n">
        <x:v>0.87</x:v>
      </x:c>
      <x:c r="F14" s="25" t="n">
        <x:v>0.26</x:v>
      </x:c>
      <x:c r="G14" s="24" t="n">
        <x:v>0.86</x:v>
      </x:c>
      <x:c r="H14" s="25" t="n">
        <x:v>0.14</x:v>
      </x:c>
      <x:c r="I14" s="25" t="n">
        <x:v>0.43</x:v>
      </x:c>
      <x:c r="J14" s="25" t="n">
        <x:v>0.5</x:v>
      </x:c>
      <x:c r="K14" s="23" t="str">
        <x:v>예시</x:v>
      </x:c>
      <x:c r="L14" s="23" t="str">
        <x:v>가상 예시 / 실공시 없음</x:v>
      </x:c>
      <x:c r="M14" s="26" t="d">
        <x:v>2026-10-08T00:00:00.000Z</x:v>
      </x:c>
      <x:c r="N14" s="23" t="str">
        <x:v>근거 부족으로 점수 보류</x:v>
      </x:c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 ht="25" customHeight="1">
      <x:c r="A17" s="27" t="str">
        <x:v>PER 선택은 J21:J28에서 1(포함) 또는 0(제외)을 입력합니다.</x:v>
      </x:c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34" customHeight="1">
      <x:c r="A20" s="12" t="str">
        <x:v>기업 ID</x:v>
      </x:c>
      <x:c r="B20" s="12" t="str">
        <x:v>시가총액 (원)</x:v>
      </x:c>
      <x:c r="C20" s="12" t="str">
        <x:v>정상화 귀속 이익 (원)</x:v>
      </x:c>
      <x:c r="D20" s="12" t="str">
        <x:v>이익 비교기간</x:v>
      </x:c>
      <x:c r="E20" s="12" t="str">
        <x:v>통화</x:v>
      </x:c>
      <x:c r="F20" s="12" t="str">
        <x:v>재무 기준</x:v>
      </x:c>
      <x:c r="G20" s="12" t="str">
        <x:v>시총 기준일</x:v>
      </x:c>
      <x:c r="H20" s="12" t="str">
        <x:v>재무 검증 상태</x:v>
      </x:c>
      <x:c r="I20" s="12" t="str">
        <x:v>원천 / 조정 근거</x:v>
      </x:c>
      <x:c r="J20" s="12" t="str">
        <x:v>PER 선택 1/0</x:v>
      </x:c>
      <x:c r="K20" s="12" t="str">
        <x:v>선택 / 제외 이유</x:v>
      </x:c>
      <x:c r="L20" s="3"/>
      <x:c r="M20" s="3"/>
      <x:c r="N20" s="3"/>
    </x:row>
    <x:row r="21" ht="42" customHeight="1">
      <x:c r="A21" s="23" t="str">
        <x:v>P01</x:v>
      </x:c>
      <x:c r="B21" s="28" t="n">
        <x:v>240000000000</x:v>
      </x:c>
      <x:c r="C21" s="28" t="n">
        <x:v>12000000000</x:v>
      </x:c>
      <x:c r="D21" s="23" t="str">
        <x:v>FY2025</x:v>
      </x:c>
      <x:c r="E21" s="23" t="str">
        <x:v>KRW</x:v>
      </x:c>
      <x:c r="F21" s="23" t="str">
        <x:v>CFS</x:v>
      </x:c>
      <x:c r="G21" s="26" t="d">
        <x:v>2026-10-08T00:00:00.000Z</x:v>
      </x:c>
      <x:c r="H21" s="23" t="str">
        <x:v>예시</x:v>
      </x:c>
      <x:c r="I21" s="23" t="str">
        <x:v>가상 예시 / 실공시 없음</x:v>
      </x:c>
      <x:c r="J21" s="23" t="n">
        <x:v>1</x:v>
      </x:c>
      <x:c r="K21" s="23" t="str">
        <x:v>예시: 비교대상 포함</x:v>
      </x:c>
      <x:c r="L21" s="3"/>
      <x:c r="M21" s="3"/>
      <x:c r="N21" s="3"/>
    </x:row>
    <x:row r="22" ht="42" customHeight="1">
      <x:c r="A22" s="23" t="str">
        <x:v>P02</x:v>
      </x:c>
      <x:c r="B22" s="28" t="n">
        <x:v>210000000000</x:v>
      </x:c>
      <x:c r="C22" s="28" t="n">
        <x:v>10000000000</x:v>
      </x:c>
      <x:c r="D22" s="23" t="str">
        <x:v>FY2025</x:v>
      </x:c>
      <x:c r="E22" s="23" t="str">
        <x:v>KRW</x:v>
      </x:c>
      <x:c r="F22" s="23" t="str">
        <x:v>CFS</x:v>
      </x:c>
      <x:c r="G22" s="26" t="d">
        <x:v>2026-10-08T00:00:00.000Z</x:v>
      </x:c>
      <x:c r="H22" s="23" t="str">
        <x:v>예시</x:v>
      </x:c>
      <x:c r="I22" s="23" t="str">
        <x:v>가상 예시 / 실공시 없음</x:v>
      </x:c>
      <x:c r="J22" s="23" t="n">
        <x:v>1</x:v>
      </x:c>
      <x:c r="K22" s="23" t="str">
        <x:v>예시: 비교대상 포함</x:v>
      </x:c>
      <x:c r="L22" s="3"/>
      <x:c r="M22" s="3"/>
      <x:c r="N22" s="3"/>
    </x:row>
    <x:row r="23" ht="42" customHeight="1">
      <x:c r="A23" s="23" t="str">
        <x:v>P03</x:v>
      </x:c>
      <x:c r="B23" s="28" t="n">
        <x:v>390000000000</x:v>
      </x:c>
      <x:c r="C23" s="28" t="n">
        <x:v>15000000000</x:v>
      </x:c>
      <x:c r="D23" s="23" t="str">
        <x:v>FY2025</x:v>
      </x:c>
      <x:c r="E23" s="23" t="str">
        <x:v>KRW</x:v>
      </x:c>
      <x:c r="F23" s="23" t="str">
        <x:v>CFS</x:v>
      </x:c>
      <x:c r="G23" s="26" t="d">
        <x:v>2026-10-08T00:00:00.000Z</x:v>
      </x:c>
      <x:c r="H23" s="23" t="str">
        <x:v>예시</x:v>
      </x:c>
      <x:c r="I23" s="23" t="str">
        <x:v>가상 예시 / 실공시 없음</x:v>
      </x:c>
      <x:c r="J23" s="23" t="n">
        <x:v>1</x:v>
      </x:c>
      <x:c r="K23" s="23" t="str">
        <x:v>예시: 비교대상 포함</x:v>
      </x:c>
      <x:c r="L23" s="3"/>
      <x:c r="M23" s="3"/>
      <x:c r="N23" s="3"/>
    </x:row>
    <x:row r="24" ht="42" customHeight="1">
      <x:c r="A24" s="23" t="str">
        <x:v>P04</x:v>
      </x:c>
      <x:c r="B24" s="28" t="n">
        <x:v>180000000000</x:v>
      </x:c>
      <x:c r="C24" s="28" t="n">
        <x:v>9000000000</x:v>
      </x:c>
      <x:c r="D24" s="23" t="str">
        <x:v>FY2025</x:v>
      </x:c>
      <x:c r="E24" s="23" t="str">
        <x:v>KRW</x:v>
      </x:c>
      <x:c r="F24" s="23" t="str">
        <x:v>CFS</x:v>
      </x:c>
      <x:c r="G24" s="26" t="d">
        <x:v>2026-10-08T00:00:00.000Z</x:v>
      </x:c>
      <x:c r="H24" s="23" t="str">
        <x:v>예시</x:v>
      </x:c>
      <x:c r="I24" s="23" t="str">
        <x:v>가상 예시 / 실공시 없음</x:v>
      </x:c>
      <x:c r="J24" s="23" t="n">
        <x:v>0</x:v>
      </x:c>
      <x:c r="K24" s="23" t="str">
        <x:v>예시: 미선택</x:v>
      </x:c>
      <x:c r="L24" s="3"/>
      <x:c r="M24" s="3"/>
      <x:c r="N24" s="3"/>
    </x:row>
    <x:row r="25" ht="42" customHeight="1">
      <x:c r="A25" s="23" t="str">
        <x:v>P05</x:v>
      </x:c>
      <x:c r="B25" s="28" t="n">
        <x:v>90000000000</x:v>
      </x:c>
      <x:c r="C25" s="28" t="n">
        <x:v>6000000000</x:v>
      </x:c>
      <x:c r="D25" s="23" t="str">
        <x:v>FY2025</x:v>
      </x:c>
      <x:c r="E25" s="23" t="str">
        <x:v>KRW</x:v>
      </x:c>
      <x:c r="F25" s="23" t="str">
        <x:v>CFS</x:v>
      </x:c>
      <x:c r="G25" s="26" t="d">
        <x:v>2026-10-08T00:00:00.000Z</x:v>
      </x:c>
      <x:c r="H25" s="23" t="str">
        <x:v>예시</x:v>
      </x:c>
      <x:c r="I25" s="23" t="str">
        <x:v>가상 예시 / 실공시 없음</x:v>
      </x:c>
      <x:c r="J25" s="23" t="n">
        <x:v>0</x:v>
      </x:c>
      <x:c r="K25" s="23" t="str">
        <x:v>예시: 미선택</x:v>
      </x:c>
      <x:c r="L25" s="3"/>
      <x:c r="M25" s="3"/>
      <x:c r="N25" s="3"/>
    </x:row>
    <x:row r="26" ht="42" customHeight="1">
      <x:c r="A26" s="23" t="str">
        <x:v>P06</x:v>
      </x:c>
      <x:c r="B26" s="28" t="n">
        <x:v>100000000000</x:v>
      </x:c>
      <x:c r="C26" s="28" t="n">
        <x:v>5000000000</x:v>
      </x:c>
      <x:c r="D26" s="23" t="str">
        <x:v>FY2025</x:v>
      </x:c>
      <x:c r="E26" s="23" t="str">
        <x:v>KRW</x:v>
      </x:c>
      <x:c r="F26" s="23" t="str">
        <x:v>CFS</x:v>
      </x:c>
      <x:c r="G26" s="26" t="d">
        <x:v>2026-10-08T00:00:00.000Z</x:v>
      </x:c>
      <x:c r="H26" s="23" t="str">
        <x:v>예시</x:v>
      </x:c>
      <x:c r="I26" s="23" t="str">
        <x:v>가상 예시 / 실공시 없음</x:v>
      </x:c>
      <x:c r="J26" s="23" t="n">
        <x:v>0</x:v>
      </x:c>
      <x:c r="K26" s="23" t="str">
        <x:v>예시: 미선택</x:v>
      </x:c>
      <x:c r="L26" s="3"/>
      <x:c r="M26" s="3"/>
      <x:c r="N26" s="3"/>
    </x:row>
    <x:row r="27" ht="42" customHeight="1">
      <x:c r="A27" s="23" t="str">
        <x:v>P07</x:v>
      </x:c>
      <x:c r="B27" s="28" t="n">
        <x:v>110000000000</x:v>
      </x:c>
      <x:c r="C27" s="28" t="n">
        <x:v>-2000000000</x:v>
      </x:c>
      <x:c r="D27" s="23" t="str">
        <x:v>FY2025</x:v>
      </x:c>
      <x:c r="E27" s="23" t="str">
        <x:v>KRW</x:v>
      </x:c>
      <x:c r="F27" s="23" t="str">
        <x:v>CFS</x:v>
      </x:c>
      <x:c r="G27" s="26" t="d">
        <x:v>2026-10-08T00:00:00.000Z</x:v>
      </x:c>
      <x:c r="H27" s="23" t="str">
        <x:v>예시</x:v>
      </x:c>
      <x:c r="I27" s="23" t="str">
        <x:v>가상 예시 / 실공시 없음</x:v>
      </x:c>
      <x:c r="J27" s="23" t="n">
        <x:v>0</x:v>
      </x:c>
      <x:c r="K27" s="23" t="str">
        <x:v>예시: 미선택</x:v>
      </x:c>
      <x:c r="L27" s="3"/>
      <x:c r="M27" s="3"/>
      <x:c r="N27" s="3"/>
    </x:row>
    <x:row r="28" ht="42" customHeight="1">
      <x:c r="A28" s="23" t="str">
        <x:v>P08</x:v>
      </x:c>
      <x:c r="B28" s="28" t="n">
        <x:v>240000000000</x:v>
      </x:c>
      <x:c r="C28" s="28" t="n">
        <x:v>12000000000</x:v>
      </x:c>
      <x:c r="D28" s="23" t="str">
        <x:v>FY2025</x:v>
      </x:c>
      <x:c r="E28" s="23" t="str">
        <x:v>KRW</x:v>
      </x:c>
      <x:c r="F28" s="23" t="str">
        <x:v>CFS</x:v>
      </x:c>
      <x:c r="G28" s="26" t="d">
        <x:v>2026-10-08T00:00:00.000Z</x:v>
      </x:c>
      <x:c r="H28" s="23" t="str">
        <x:v>예시</x:v>
      </x:c>
      <x:c r="I28" s="23" t="str">
        <x:v>가상 예시 / 실공시 없음</x:v>
      </x:c>
      <x:c r="J28" s="23" t="n">
        <x:v>0</x:v>
      </x:c>
      <x:c r="K28" s="23" t="str">
        <x:v>예시: 미선택</x:v>
      </x:c>
      <x:c r="L28" s="3"/>
      <x:c r="M28" s="3"/>
      <x:c r="N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</x:sheetData>
  <x:dataValidations count="3">
    <x:dataValidation type="list" sqref="K6:K14">
      <x:formula1>"예시,미확인,확정"</x:formula1>
    </x:dataValidation>
    <x:dataValidation type="list" sqref="H21:H28">
      <x:formula1>"예시,미확인,확정"</x:formula1>
    </x:dataValidation>
    <x:dataValidation type="whole" operator="between" sqref="J21:J28">
      <x:formula1>0</x:formula1>
      <x:formula2>1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15fe8f2aeeb24e39"/>
    <x:tablePart xmlns:r="http://schemas.openxmlformats.org/officeDocument/2006/relationships" r:id="Rf2cb8c1253cf45e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0" hidden="0" customWidth="1"/>
    <x:col min="4" max="4" width="46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32" hidden="0" customWidth="1"/>
    <x:col min="10" max="10" width="18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5" t="str">
        <x:v>프로필과 근거 기록 양식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7" t="str">
        <x:v>현재 문장·근거 ID는 양식 설명용 가상 예시입니다. 실제 추출 결과로 교체하고 원문 위치를 기록하세요.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4" customHeight="1">
      <x:c r="A5" s="12" t="str">
        <x:v>기업 ID</x:v>
      </x:c>
      <x:c r="B5" s="12" t="str">
        <x:v>영역</x:v>
      </x:c>
      <x:c r="C5" s="12" t="str">
        <x:v>필드 키</x:v>
      </x:c>
      <x:c r="D5" s="12" t="str">
        <x:v>필드 값 / 예시</x:v>
      </x:c>
      <x:c r="E5" s="12" t="str">
        <x:v>기간 / 기준</x:v>
      </x:c>
      <x:c r="F5" s="12" t="str">
        <x:v>입력 상태</x:v>
      </x:c>
      <x:c r="G5" s="12" t="str">
        <x:v>근거 ID</x:v>
      </x:c>
      <x:c r="H5" s="12" t="str">
        <x:v>추출 상태</x:v>
      </x:c>
      <x:c r="I5" s="12" t="str">
        <x:v>정의 / 원문 위치</x:v>
      </x:c>
      <x:c r="J5" s="12" t="str">
        <x:v>검토자</x:v>
      </x:c>
    </x:row>
    <x:row r="6" ht="44" customHeight="1">
      <x:c r="A6" s="23" t="str">
        <x:v>TGT</x:v>
      </x:c>
      <x:c r="B6" s="23" t="str">
        <x:v>비즈니스</x:v>
      </x:c>
      <x:c r="C6" s="23" t="str">
        <x:v>business.products</x:v>
      </x:c>
      <x:c r="D6" s="23" t="str">
        <x:v>기업용 업무 관리 SaaS</x:v>
      </x:c>
      <x:c r="E6" s="23" t="str">
        <x:v>FY2025 / CFS</x:v>
      </x:c>
      <x:c r="F6" s="23" t="str">
        <x:v>예시</x:v>
      </x:c>
      <x:c r="G6" s="23" t="str">
        <x:v>EX-E01</x:v>
      </x:c>
      <x:c r="H6" s="23" t="str">
        <x:v>미검증</x:v>
      </x:c>
      <x:c r="I6" s="23" t="str">
        <x:v>제품·서비스와 매출비중</x:v>
      </x:c>
      <x:c r="J6" s="23" t="str">
        <x:v>미지정</x:v>
      </x:c>
    </x:row>
    <x:row r="7" ht="44" customHeight="1">
      <x:c r="A7" s="23" t="str">
        <x:v>TGT</x:v>
      </x:c>
      <x:c r="B7" s="23" t="str">
        <x:v>비즈니스</x:v>
      </x:c>
      <x:c r="C7" s="23" t="str">
        <x:v>business.customers</x:v>
      </x:c>
      <x:c r="D7" s="23" t="str">
        <x:v>중견·중소기업 고객</x:v>
      </x:c>
      <x:c r="E7" s="23" t="str">
        <x:v>FY2025 / CFS</x:v>
      </x:c>
      <x:c r="F7" s="23" t="str">
        <x:v>예시</x:v>
      </x:c>
      <x:c r="G7" s="23" t="str">
        <x:v>EX-E02</x:v>
      </x:c>
      <x:c r="H7" s="23" t="str">
        <x:v>미검증</x:v>
      </x:c>
      <x:c r="I7" s="23" t="str">
        <x:v>B2B/B2C, 고객군·산업</x:v>
      </x:c>
      <x:c r="J7" s="23" t="str">
        <x:v>미지정</x:v>
      </x:c>
    </x:row>
    <x:row r="8" ht="44" customHeight="1">
      <x:c r="A8" s="23" t="str">
        <x:v>TGT</x:v>
      </x:c>
      <x:c r="B8" s="23" t="str">
        <x:v>비즈니스</x:v>
      </x:c>
      <x:c r="C8" s="23" t="str">
        <x:v>business.revenue_model</x:v>
      </x:c>
      <x:c r="D8" s="23" t="str">
        <x:v>월/연 구독료</x:v>
      </x:c>
      <x:c r="E8" s="23" t="str">
        <x:v>FY2025 / CFS</x:v>
      </x:c>
      <x:c r="F8" s="23" t="str">
        <x:v>예시</x:v>
      </x:c>
      <x:c r="G8" s="23" t="str">
        <x:v>EX-E03</x:v>
      </x:c>
      <x:c r="H8" s="23" t="str">
        <x:v>미검증</x:v>
      </x:c>
      <x:c r="I8" s="23" t="str">
        <x:v>수익원·과금 단위·반복매출</x:v>
      </x:c>
      <x:c r="J8" s="23" t="str">
        <x:v>미지정</x:v>
      </x:c>
    </x:row>
    <x:row r="9" ht="44" customHeight="1">
      <x:c r="A9" s="23" t="str">
        <x:v>TGT</x:v>
      </x:c>
      <x:c r="B9" s="23" t="str">
        <x:v>비즈니스</x:v>
      </x:c>
      <x:c r="C9" s="23" t="str">
        <x:v>business.channels</x:v>
      </x:c>
      <x:c r="D9" s="23" t="str">
        <x:v>직접 영업과 온라인 가입</x:v>
      </x:c>
      <x:c r="E9" s="23" t="str">
        <x:v>FY2025 / CFS</x:v>
      </x:c>
      <x:c r="F9" s="23" t="str">
        <x:v>예시</x:v>
      </x:c>
      <x:c r="G9" s="23" t="str">
        <x:v>EX-E04</x:v>
      </x:c>
      <x:c r="H9" s="23" t="str">
        <x:v>미검증</x:v>
      </x:c>
      <x:c r="I9" s="23" t="str">
        <x:v>유통·판매·지역</x:v>
      </x:c>
      <x:c r="J9" s="23" t="str">
        <x:v>미지정</x:v>
      </x:c>
    </x:row>
    <x:row r="10" ht="44" customHeight="1">
      <x:c r="A10" s="23" t="str">
        <x:v>TGT</x:v>
      </x:c>
      <x:c r="B10" s="23" t="str">
        <x:v>비즈니스</x:v>
      </x:c>
      <x:c r="C10" s="23" t="str">
        <x:v>business.value_chain</x:v>
      </x:c>
      <x:c r="D10" s="23" t="str">
        <x:v>자체 개발·클라우드 제공</x:v>
      </x:c>
      <x:c r="E10" s="23" t="str">
        <x:v>FY2025 / CFS</x:v>
      </x:c>
      <x:c r="F10" s="23" t="str">
        <x:v>예시</x:v>
      </x:c>
      <x:c r="G10" s="23" t="str">
        <x:v>EX-E05</x:v>
      </x:c>
      <x:c r="H10" s="23" t="str">
        <x:v>미검증</x:v>
      </x:c>
      <x:c r="I10" s="23" t="str">
        <x:v>제조/유통/플랫폼 등 역할</x:v>
      </x:c>
      <x:c r="J10" s="23" t="str">
        <x:v>미지정</x:v>
      </x:c>
    </x:row>
    <x:row r="11" ht="44" customHeight="1">
      <x:c r="A11" s="23" t="str">
        <x:v>TGT</x:v>
      </x:c>
      <x:c r="B11" s="23" t="str">
        <x:v>비즈니스</x:v>
      </x:c>
      <x:c r="C11" s="23" t="str">
        <x:v>business.differentiation</x:v>
      </x:c>
      <x:c r="D11" s="23" t="str">
        <x:v>업무 통합 기능</x:v>
      </x:c>
      <x:c r="E11" s="23" t="str">
        <x:v>FY2025 / CFS</x:v>
      </x:c>
      <x:c r="F11" s="23" t="str">
        <x:v>예시</x:v>
      </x:c>
      <x:c r="G11" s="23" t="str">
        <x:v>EX-E06</x:v>
      </x:c>
      <x:c r="H11" s="23" t="str">
        <x:v>미검증</x:v>
      </x:c>
      <x:c r="I11" s="23" t="str">
        <x:v>경쟁력 주장과 실제 근거 구분</x:v>
      </x:c>
      <x:c r="J11" s="23" t="str">
        <x:v>미지정</x:v>
      </x:c>
    </x:row>
    <x:row r="12" ht="44" customHeight="1">
      <x:c r="A12" s="23" t="str">
        <x:v>TGT</x:v>
      </x:c>
      <x:c r="B12" s="23" t="str">
        <x:v>성장성</x:v>
      </x:c>
      <x:c r="C12" s="23" t="str">
        <x:v>growth.revenue_yoy</x:v>
      </x:c>
      <x:c r="D12" s="25" t="n">
        <x:v>0.25</x:v>
      </x:c>
      <x:c r="E12" s="23" t="str">
        <x:v>FY2025 / CFS</x:v>
      </x:c>
      <x:c r="F12" s="23" t="str">
        <x:v>예시</x:v>
      </x:c>
      <x:c r="G12" s="23" t="str">
        <x:v>EX-E07</x:v>
      </x:c>
      <x:c r="H12" s="23" t="str">
        <x:v>미검증</x:v>
      </x:c>
      <x:c r="I12" s="23" t="str">
        <x:v>전기 매출 &gt; 0인 경우 당기/전기 - 1</x:v>
      </x:c>
      <x:c r="J12" s="23" t="str">
        <x:v>미지정</x:v>
      </x:c>
    </x:row>
    <x:row r="13" ht="44" customHeight="1">
      <x:c r="A13" s="23" t="str">
        <x:v>TGT</x:v>
      </x:c>
      <x:c r="B13" s="23" t="str">
        <x:v>성장성</x:v>
      </x:c>
      <x:c r="C13" s="23" t="str">
        <x:v>growth.market</x:v>
      </x:c>
      <x:c r="D13" s="23" t="str">
        <x:v>기업 디지털 전환 수요</x:v>
      </x:c>
      <x:c r="E13" s="23" t="str">
        <x:v>FY2025 / CFS</x:v>
      </x:c>
      <x:c r="F13" s="23" t="str">
        <x:v>예시</x:v>
      </x:c>
      <x:c r="G13" s="23" t="str">
        <x:v>EX-E08</x:v>
      </x:c>
      <x:c r="H13" s="23" t="str">
        <x:v>미검증</x:v>
      </x:c>
      <x:c r="I13" s="23" t="str">
        <x:v>시장 정의·기간·외부 출처</x:v>
      </x:c>
      <x:c r="J13" s="23" t="str">
        <x:v>미지정</x:v>
      </x:c>
    </x:row>
    <x:row r="14" ht="44" customHeight="1">
      <x:c r="A14" s="23" t="str">
        <x:v>TGT</x:v>
      </x:c>
      <x:c r="B14" s="23" t="str">
        <x:v>성장성</x:v>
      </x:c>
      <x:c r="C14" s="23" t="str">
        <x:v>growth.drivers</x:v>
      </x:c>
      <x:c r="D14" s="23" t="str">
        <x:v>구독 고객 수 확대</x:v>
      </x:c>
      <x:c r="E14" s="23" t="str">
        <x:v>FY2025 / CFS</x:v>
      </x:c>
      <x:c r="F14" s="23" t="str">
        <x:v>예시</x:v>
      </x:c>
      <x:c r="G14" s="23" t="str">
        <x:v>EX-E09</x:v>
      </x:c>
      <x:c r="H14" s="23" t="str">
        <x:v>미검증</x:v>
      </x:c>
      <x:c r="I14" s="23" t="str">
        <x:v>고객수·단가·신제품 등</x:v>
      </x:c>
      <x:c r="J14" s="23" t="str">
        <x:v>미지정</x:v>
      </x:c>
    </x:row>
    <x:row r="15" ht="44" customHeight="1">
      <x:c r="A15" s="23" t="str">
        <x:v>TGT</x:v>
      </x:c>
      <x:c r="B15" s="23" t="str">
        <x:v>성장성</x:v>
      </x:c>
      <x:c r="C15" s="23" t="str">
        <x:v>growth.expansion</x:v>
      </x:c>
      <x:c r="D15" s="23" t="str">
        <x:v>국내 고객군 확대</x:v>
      </x:c>
      <x:c r="E15" s="23" t="str">
        <x:v>FY2025 / CFS</x:v>
      </x:c>
      <x:c r="F15" s="23" t="str">
        <x:v>예시</x:v>
      </x:c>
      <x:c r="G15" s="23" t="str">
        <x:v>EX-E10</x:v>
      </x:c>
      <x:c r="H15" s="23" t="str">
        <x:v>미검증</x:v>
      </x:c>
      <x:c r="I15" s="23" t="str">
        <x:v>신시장·해외·설비투자 계획</x:v>
      </x:c>
      <x:c r="J15" s="23" t="str">
        <x:v>미지정</x:v>
      </x:c>
    </x:row>
    <x:row r="16" ht="44" customHeight="1">
      <x:c r="A16" s="23" t="str">
        <x:v>TGT</x:v>
      </x:c>
      <x:c r="B16" s="23" t="str">
        <x:v>리스크</x:v>
      </x:c>
      <x:c r="C16" s="23" t="str">
        <x:v>risk.customer</x:v>
      </x:c>
      <x:c r="D16" s="23" t="str">
        <x:v>상위 고객 매출 집중</x:v>
      </x:c>
      <x:c r="E16" s="23" t="str">
        <x:v>FY2025 / CFS</x:v>
      </x:c>
      <x:c r="F16" s="23" t="str">
        <x:v>예시</x:v>
      </x:c>
      <x:c r="G16" s="23" t="str">
        <x:v>EX-E11</x:v>
      </x:c>
      <x:c r="H16" s="23" t="str">
        <x:v>미검증</x:v>
      </x:c>
      <x:c r="I16" s="23" t="str">
        <x:v>집중도와 고객 이탈</x:v>
      </x:c>
      <x:c r="J16" s="23" t="str">
        <x:v>미지정</x:v>
      </x:c>
    </x:row>
    <x:row r="17" ht="44" customHeight="1">
      <x:c r="A17" s="23" t="str">
        <x:v>TGT</x:v>
      </x:c>
      <x:c r="B17" s="23" t="str">
        <x:v>리스크</x:v>
      </x:c>
      <x:c r="C17" s="23" t="str">
        <x:v>risk.competition</x:v>
      </x:c>
      <x:c r="D17" s="23" t="str">
        <x:v>가격 경쟁 심화</x:v>
      </x:c>
      <x:c r="E17" s="23" t="str">
        <x:v>FY2025 / CFS</x:v>
      </x:c>
      <x:c r="F17" s="23" t="str">
        <x:v>예시</x:v>
      </x:c>
      <x:c r="G17" s="23" t="str">
        <x:v>EX-E12</x:v>
      </x:c>
      <x:c r="H17" s="23" t="str">
        <x:v>미검증</x:v>
      </x:c>
      <x:c r="I17" s="23" t="str">
        <x:v>경쟁강도·진입장벽</x:v>
      </x:c>
      <x:c r="J17" s="23" t="str">
        <x:v>미지정</x:v>
      </x:c>
    </x:row>
    <x:row r="18" ht="44" customHeight="1">
      <x:c r="A18" s="23" t="str">
        <x:v>TGT</x:v>
      </x:c>
      <x:c r="B18" s="23" t="str">
        <x:v>리스크</x:v>
      </x:c>
      <x:c r="C18" s="23" t="str">
        <x:v>risk.regulatory</x:v>
      </x:c>
      <x:c r="D18" s="23" t="str">
        <x:v>개인정보 규제 대응</x:v>
      </x:c>
      <x:c r="E18" s="23" t="str">
        <x:v>FY2025 / CFS</x:v>
      </x:c>
      <x:c r="F18" s="23" t="str">
        <x:v>예시</x:v>
      </x:c>
      <x:c r="G18" s="23" t="str">
        <x:v>EX-E13</x:v>
      </x:c>
      <x:c r="H18" s="23" t="str">
        <x:v>미검증</x:v>
      </x:c>
      <x:c r="I18" s="23" t="str">
        <x:v>규제·소송·보안</x:v>
      </x:c>
      <x:c r="J18" s="23" t="str">
        <x:v>미지정</x:v>
      </x:c>
    </x:row>
    <x:row r="19" ht="44" customHeight="1">
      <x:c r="A19" s="23" t="str">
        <x:v>TGT</x:v>
      </x:c>
      <x:c r="B19" s="23" t="str">
        <x:v>리스크</x:v>
      </x:c>
      <x:c r="C19" s="23" t="str">
        <x:v>risk.operations</x:v>
      </x:c>
      <x:c r="D19" s="23" t="str">
        <x:v>클라우드 운영 의존</x:v>
      </x:c>
      <x:c r="E19" s="23" t="str">
        <x:v>FY2025 / CFS</x:v>
      </x:c>
      <x:c r="F19" s="23" t="str">
        <x:v>예시</x:v>
      </x:c>
      <x:c r="G19" s="23" t="str">
        <x:v>EX-E14</x:v>
      </x:c>
      <x:c r="H19" s="23" t="str">
        <x:v>미검증</x:v>
      </x:c>
      <x:c r="I19" s="23" t="str">
        <x:v>공급망·운영·재무위험</x:v>
      </x:c>
      <x:c r="J19" s="23" t="str">
        <x:v>미지정</x:v>
      </x:c>
    </x:row>
    <x:row r="20" ht="44" customHeight="1">
      <x:c r="A20" s="23" t="str">
        <x:v>TGT</x:v>
      </x:c>
      <x:c r="B20" s="23" t="str">
        <x:v>재무</x:v>
      </x:c>
      <x:c r="C20" s="23" t="str">
        <x:v>financial.revenue</x:v>
      </x:c>
      <x:c r="D20" s="28" t="n">
        <x:v>80000000000</x:v>
      </x:c>
      <x:c r="E20" s="23" t="str">
        <x:v>FY2025 / CFS</x:v>
      </x:c>
      <x:c r="F20" s="23" t="str">
        <x:v>예시</x:v>
      </x:c>
      <x:c r="G20" s="23" t="str">
        <x:v>EX-E15</x:v>
      </x:c>
      <x:c r="H20" s="23" t="str">
        <x:v>미검증</x:v>
      </x:c>
      <x:c r="I20" s="23" t="str">
        <x:v>KRW 원 / FY2025 / CFS</x:v>
      </x:c>
      <x:c r="J20" s="23" t="str">
        <x:v>미지정</x:v>
      </x:c>
    </x:row>
    <x:row r="21" ht="44" customHeight="1">
      <x:c r="A21" s="23" t="str">
        <x:v>TGT</x:v>
      </x:c>
      <x:c r="B21" s="23" t="str">
        <x:v>재무</x:v>
      </x:c>
      <x:c r="C21" s="23" t="str">
        <x:v>financial.operating_margin</x:v>
      </x:c>
      <x:c r="D21" s="25" t="n">
        <x:v>0.15</x:v>
      </x:c>
      <x:c r="E21" s="23" t="str">
        <x:v>FY2025 / CFS</x:v>
      </x:c>
      <x:c r="F21" s="23" t="str">
        <x:v>예시</x:v>
      </x:c>
      <x:c r="G21" s="23" t="str">
        <x:v>EX-E16</x:v>
      </x:c>
      <x:c r="H21" s="23" t="str">
        <x:v>미검증</x:v>
      </x:c>
      <x:c r="I21" s="23" t="str">
        <x:v>영업이익 / 매출액</x:v>
      </x:c>
      <x:c r="J21" s="23" t="str">
        <x:v>미지정</x:v>
      </x:c>
    </x:row>
    <x:row r="22" ht="44" customHeight="1">
      <x:c r="A22" s="23" t="str">
        <x:v>TGT</x:v>
      </x:c>
      <x:c r="B22" s="23" t="str">
        <x:v>재무</x:v>
      </x:c>
      <x:c r="C22" s="23" t="str">
        <x:v>financial.liabilities_assets</x:v>
      </x:c>
      <x:c r="D22" s="25" t="n">
        <x:v>0.4</x:v>
      </x:c>
      <x:c r="E22" s="23" t="str">
        <x:v>FY2025 / CFS</x:v>
      </x:c>
      <x:c r="F22" s="23" t="str">
        <x:v>예시</x:v>
      </x:c>
      <x:c r="G22" s="23" t="str">
        <x:v>EX-E17</x:v>
      </x:c>
      <x:c r="H22" s="23" t="str">
        <x:v>미검증</x:v>
      </x:c>
      <x:c r="I22" s="23" t="str">
        <x:v>총부채 / 총자산</x:v>
      </x:c>
      <x:c r="J22" s="23" t="str">
        <x:v>미지정</x:v>
      </x:c>
    </x:row>
    <x:row r="23" ht="44" customHeight="1">
      <x:c r="A23" s="23" t="str">
        <x:v>TGT</x:v>
      </x:c>
      <x:c r="B23" s="23" t="str">
        <x:v>재무</x:v>
      </x:c>
      <x:c r="C23" s="23" t="str">
        <x:v>financial.net_income_parent</x:v>
      </x:c>
      <x:c r="D23" s="28" t="n">
        <x:v>12000000000</x:v>
      </x:c>
      <x:c r="E23" s="23" t="str">
        <x:v>FY2025 / CFS</x:v>
      </x:c>
      <x:c r="F23" s="23" t="str">
        <x:v>예시</x:v>
      </x:c>
      <x:c r="G23" s="23" t="str">
        <x:v>EX-E18</x:v>
      </x:c>
      <x:c r="H23" s="23" t="str">
        <x:v>미검증</x:v>
      </x:c>
      <x:c r="I23" s="23" t="str">
        <x:v>지배주주 보통주 귀속 이익</x:v>
      </x:c>
      <x:c r="J23" s="23" t="str">
        <x:v>미지정</x:v>
      </x:c>
    </x:row>
    <x:row r="24" ht="44" customHeight="1">
      <x:c r="A24" s="23" t="str">
        <x:v>TGT</x:v>
      </x:c>
      <x:c r="B24" s="23" t="str">
        <x:v>재무</x:v>
      </x:c>
      <x:c r="C24" s="23" t="str">
        <x:v>financial.shares_pre</x:v>
      </x:c>
      <x:c r="D24" s="28" t="n">
        <x:v>10000000</x:v>
      </x:c>
      <x:c r="E24" s="23" t="str">
        <x:v>FY2025 / CFS</x:v>
      </x:c>
      <x:c r="F24" s="23" t="str">
        <x:v>예시</x:v>
      </x:c>
      <x:c r="G24" s="23" t="str">
        <x:v>EX-E19</x:v>
      </x:c>
      <x:c r="H24" s="23" t="str">
        <x:v>미검증</x:v>
      </x:c>
      <x:c r="I24" s="23" t="str">
        <x:v>IPO 전 평가 기준 보통주 수</x:v>
      </x:c>
      <x:c r="J24" s="23" t="str">
        <x:v>미지정</x:v>
      </x:c>
    </x:row>
    <x:row r="25" ht="44" customHeight="1">
      <x:c r="A25" s="23" t="str">
        <x:v>TGT</x:v>
      </x:c>
      <x:c r="B25" s="23" t="str">
        <x:v>근거</x:v>
      </x:c>
      <x:c r="C25" s="23" t="str">
        <x:v>evidence.source_url</x:v>
      </x:c>
      <x:c r="D25" s="23" t="str">
        <x:v>실제 공시 URL 입력</x:v>
      </x:c>
      <x:c r="E25" s="23" t="str">
        <x:v>FY2025 / CFS</x:v>
      </x:c>
      <x:c r="F25" s="23" t="str">
        <x:v>예시</x:v>
      </x:c>
      <x:c r="G25" s="23" t="str">
        <x:v>EX-E20</x:v>
      </x:c>
      <x:c r="H25" s="23" t="str">
        <x:v>미검증</x:v>
      </x:c>
      <x:c r="I25" s="23" t="str">
        <x:v>현재 실제 URL 없음</x:v>
      </x:c>
      <x:c r="J25" s="23" t="str">
        <x:v>미지정</x:v>
      </x:c>
    </x:row>
    <x:row r="26" ht="44" customHeight="1">
      <x:c r="A26" s="23" t="str">
        <x:v>TGT</x:v>
      </x:c>
      <x:c r="B26" s="23" t="str">
        <x:v>근거</x:v>
      </x:c>
      <x:c r="C26" s="23" t="str">
        <x:v>evidence.locator</x:v>
      </x:c>
      <x:c r="D26" s="23" t="str">
        <x:v>예시: 사업의 내용 / p.12</x:v>
      </x:c>
      <x:c r="E26" s="23" t="str">
        <x:v>FY2025 / CFS</x:v>
      </x:c>
      <x:c r="F26" s="23" t="str">
        <x:v>예시</x:v>
      </x:c>
      <x:c r="G26" s="23" t="str">
        <x:v>EX-E21</x:v>
      </x:c>
      <x:c r="H26" s="23" t="str">
        <x:v>미검증</x:v>
      </x:c>
      <x:c r="I26" s="23" t="str">
        <x:v>문서명·페이지·절·표 위치</x:v>
      </x:c>
      <x:c r="J26" s="23" t="str">
        <x:v>미지정</x:v>
      </x:c>
    </x:row>
    <x:row r="27" ht="44" customHeight="1">
      <x:c r="A27" s="23" t="str">
        <x:v>TGT</x:v>
      </x:c>
      <x:c r="B27" s="23" t="str">
        <x:v>근거</x:v>
      </x:c>
      <x:c r="C27" s="23" t="str">
        <x:v>evidence.quote</x:v>
      </x:c>
      <x:c r="D27" s="23" t="str">
        <x:v>실제 원문 발췌 입력</x:v>
      </x:c>
      <x:c r="E27" s="23" t="str">
        <x:v>FY2025 / CFS</x:v>
      </x:c>
      <x:c r="F27" s="23" t="str">
        <x:v>예시</x:v>
      </x:c>
      <x:c r="G27" s="23" t="str">
        <x:v>EX-E22</x:v>
      </x:c>
      <x:c r="H27" s="23" t="str">
        <x:v>미검증</x:v>
      </x:c>
      <x:c r="I27" s="23" t="str">
        <x:v>문장과 수치를 지지하는 짧은 발췌</x:v>
      </x:c>
      <x:c r="J27" s="23" t="str">
        <x:v>미지정</x:v>
      </x:c>
    </x:row>
    <x:row r="28" ht="44" customHeight="1">
      <x:c r="A28" s="23" t="str">
        <x:v>TGT</x:v>
      </x:c>
      <x:c r="B28" s="23" t="str">
        <x:v>근거</x:v>
      </x:c>
      <x:c r="C28" s="23" t="str">
        <x:v>evidence.published_at</x:v>
      </x:c>
      <x:c r="D28" s="23" t="str">
        <x:v>실제 공개일 입력</x:v>
      </x:c>
      <x:c r="E28" s="23" t="str">
        <x:v>FY2025 / CFS</x:v>
      </x:c>
      <x:c r="F28" s="23" t="str">
        <x:v>예시</x:v>
      </x:c>
      <x:c r="G28" s="23" t="str">
        <x:v>EX-E23</x:v>
      </x:c>
      <x:c r="H28" s="23" t="str">
        <x:v>미검증</x:v>
      </x:c>
      <x:c r="I28" s="23" t="str">
        <x:v>평가기준일 이후 자료 배제</x:v>
      </x:c>
      <x:c r="J28" s="23" t="str">
        <x:v>미지정</x:v>
      </x:c>
    </x:row>
    <x:row r="29" ht="44" customHeight="1">
      <x:c r="A29" s="23" t="str">
        <x:v>TGT</x:v>
      </x:c>
      <x:c r="B29" s="23" t="str">
        <x:v>버전</x:v>
      </x:c>
      <x:c r="C29" s="23" t="str">
        <x:v>profile.version</x:v>
      </x:c>
      <x:c r="D29" s="23" t="str">
        <x:v>v0.1-example</x:v>
      </x:c>
      <x:c r="E29" s="23" t="str">
        <x:v>FY2025 / CFS</x:v>
      </x:c>
      <x:c r="F29" s="23" t="str">
        <x:v>예시</x:v>
      </x:c>
      <x:c r="G29" s="23" t="str">
        <x:v>EX-E24</x:v>
      </x:c>
      <x:c r="H29" s="23" t="str">
        <x:v>미검증</x:v>
      </x:c>
      <x:c r="I29" s="23" t="str">
        <x:v>프롬프트·모델·색인 버전 연결</x:v>
      </x:c>
      <x:c r="J29" s="23" t="str">
        <x:v>미지정</x:v>
      </x:c>
    </x:row>
    <x:row r="30" ht="2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5" customHeight="1">
      <x:c r="A32" s="27" t="str">
        <x:v>정식 저장: 회사 × 프로필 버전 × 필드별 1행. 근거는 별도 evidence_id로 일대다 연결합니다.</x:v>
      </x:c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5" customHeight="1">
      <x:c r="A34" s="27" t="str">
        <x:v>이 시트는 추출 양식입니다. 검토 완료한 수치·코사인을 기업입력에 반영해야 계산이 갱신됩니다.</x:v>
      </x:c>
      <x:c r="B34" s="3"/>
      <x:c r="C34" s="3"/>
      <x:c r="D34" s="3"/>
      <x:c r="E34" s="3"/>
      <x:c r="F34" s="3"/>
      <x:c r="G34" s="3"/>
      <x:c r="H34" s="3"/>
      <x:c r="I34" s="3"/>
      <x:c r="J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</x:sheetData>
  <x:dataValidations count="2">
    <x:dataValidation type="list" sqref="F6:F29">
      <x:formula1>"예시,미확인,확정"</x:formula1>
    </x:dataValidation>
    <x:dataValidation type="list" sqref="H6:H29">
      <x:formula1>"미검증,근거충족,미확인,상충"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66ffc506a43a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28" hidden="0" customWidth="1"/>
    <x:col min="4" max="4" width="27" hidden="0" customWidth="1"/>
    <x:col min="5" max="5" width="25" hidden="0" customWidth="1"/>
    <x:col min="6" max="6" width="68" hidden="0" customWidth="1"/>
    <x:col min="7" max="7" width="34" hidden="0" customWidth="1"/>
    <x:col min="8" max="8" width="15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</x:row>
    <x:row r="2" ht="25" customHeight="1">
      <x:c r="A2" s="5" t="str">
        <x:v>데이터 스키마 정의</x:v>
      </x:c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구현용 정규화 스키마 제안입니다. 각 테이블의 고유키·외래키·단위·누락 처리 기준을 포함합니다.</x:v>
      </x:c>
      <x:c r="B3" s="6"/>
      <x:c r="C3" s="6"/>
      <x:c r="D3" s="6"/>
      <x:c r="E3" s="6"/>
      <x:c r="F3" s="6"/>
      <x:c r="G3" s="6"/>
      <x:c r="H3" s="6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12" t="str">
        <x:v>개체</x:v>
      </x:c>
      <x:c r="B5" s="12" t="str">
        <x:v>필드</x:v>
      </x:c>
      <x:c r="C5" s="12" t="str">
        <x:v>자료형</x:v>
      </x:c>
      <x:c r="D5" s="12" t="str">
        <x:v>행의 단위</x:v>
      </x:c>
      <x:c r="E5" s="12" t="str">
        <x:v>제약 / 단위</x:v>
      </x:c>
      <x:c r="F5" s="12" t="str">
        <x:v>정의와 검증 규칙</x:v>
      </x:c>
      <x:c r="G5" s="12" t="str">
        <x:v>예시</x:v>
      </x:c>
      <x:c r="H5" s="12" t="str">
        <x:v>사용 단계</x:v>
      </x:c>
    </x:row>
    <x:row r="6" ht="46" customHeight="1">
      <x:c r="A6" s="13" t="str">
        <x:v>company</x:v>
      </x:c>
      <x:c r="B6" s="13" t="str">
        <x:v>company_id</x:v>
      </x:c>
      <x:c r="C6" s="13" t="str">
        <x:v>string</x:v>
      </x:c>
      <x:c r="D6" s="13" t="str">
        <x:v>법인 1개</x:v>
      </x:c>
      <x:c r="E6" s="13" t="str">
        <x:v>필수·고유</x:v>
      </x:c>
      <x:c r="F6" s="13" t="str">
        <x:v>불변 내부 ID. 이름 변경과 무관</x:v>
      </x:c>
      <x:c r="G6" s="13" t="str">
        <x:v>P01</x:v>
      </x:c>
      <x:c r="H6" s="13" t="str">
        <x:v>전 단계</x:v>
      </x:c>
    </x:row>
    <x:row r="7" ht="46" customHeight="1">
      <x:c r="A7" s="21" t="str">
        <x:v>company</x:v>
      </x:c>
      <x:c r="B7" s="21" t="str">
        <x:v>corp_code / ticker</x:v>
      </x:c>
      <x:c r="C7" s="21" t="str">
        <x:v>string</x:v>
      </x:c>
      <x:c r="D7" s="21" t="str">
        <x:v>법인/종목</x:v>
      </x:c>
      <x:c r="E7" s="21" t="str">
        <x:v>조건부</x:v>
      </x:c>
      <x:c r="F7" s="21" t="str">
        <x:v>DART 법인코드와 거래 종목코드 구분. 선행 0 보존</x:v>
      </x:c>
      <x:c r="G7" s="21" t="str">
        <x:v>각 원천의 문자열</x:v>
      </x:c>
      <x:c r="H7" s="21" t="str">
        <x:v>1·2·7</x:v>
      </x:c>
    </x:row>
    <x:row r="8" ht="46" customHeight="1">
      <x:c r="A8" s="13" t="str">
        <x:v>company</x:v>
      </x:c>
      <x:c r="B8" s="13" t="str">
        <x:v>name / market / country</x:v>
      </x:c>
      <x:c r="C8" s="13" t="str">
        <x:v>string</x:v>
      </x:c>
      <x:c r="D8" s="13" t="str">
        <x:v>법인</x:v>
      </x:c>
      <x:c r="E8" s="13" t="str">
        <x:v>필수</x:v>
      </x:c>
      <x:c r="F8" s="13" t="str">
        <x:v>비교 유니버스 정의. 국내/해외 구분</x:v>
      </x:c>
      <x:c r="G8" s="13" t="str">
        <x:v>가상 알파 / KOSDAQ / KR</x:v>
      </x:c>
      <x:c r="H8" s="13" t="str">
        <x:v>1·2</x:v>
      </x:c>
    </x:row>
    <x:row r="9" ht="46" customHeight="1">
      <x:c r="A9" s="21" t="str">
        <x:v>company</x:v>
      </x:c>
      <x:c r="B9" s="21" t="str">
        <x:v>industry_text</x:v>
      </x:c>
      <x:c r="C9" s="21" t="str">
        <x:v>string</x:v>
      </x:c>
      <x:c r="D9" s="21" t="str">
        <x:v>법인·기준일</x:v>
      </x:c>
      <x:c r="E9" s="21" t="str">
        <x:v>필수</x:v>
      </x:c>
      <x:c r="F9" s="21" t="str">
        <x:v>산업 벡터에 들어갈 산업 설명만 보존</x:v>
      </x:c>
      <x:c r="G9" s="21" t="str">
        <x:v>B2B 업무용 SaaS</x:v>
      </x:c>
      <x:c r="H9" s="21" t="str">
        <x:v>2</x:v>
      </x:c>
    </x:row>
    <x:row r="10" ht="46" customHeight="1">
      <x:c r="A10" s="13" t="str">
        <x:v>document</x:v>
      </x:c>
      <x:c r="B10" s="13" t="str">
        <x:v>doc_id / company_id</x:v>
      </x:c>
      <x:c r="C10" s="13" t="str">
        <x:v>string / FK</x:v>
      </x:c>
      <x:c r="D10" s="13" t="str">
        <x:v>문서·버전</x:v>
      </x:c>
      <x:c r="E10" s="13" t="str">
        <x:v>필수</x:v>
      </x:c>
      <x:c r="F10" s="13" t="str">
        <x:v>회사 ID로 연결, 정정공시는 원본 버전과 연결</x:v>
      </x:c>
      <x:c r="G10" s="13" t="str">
        <x:v>DOC-P01-001</x:v>
      </x:c>
      <x:c r="H10" s="13" t="str">
        <x:v>3·5·6</x:v>
      </x:c>
    </x:row>
    <x:row r="11" ht="46" customHeight="1">
      <x:c r="A11" s="21" t="str">
        <x:v>document</x:v>
      </x:c>
      <x:c r="B11" s="21" t="str">
        <x:v>source_url / title</x:v>
      </x:c>
      <x:c r="C11" s="21" t="str">
        <x:v>string</x:v>
      </x:c>
      <x:c r="D11" s="21" t="str">
        <x:v>문서</x:v>
      </x:c>
      <x:c r="E11" s="21" t="str">
        <x:v>필수</x:v>
      </x:c>
      <x:c r="F11" s="21" t="str">
        <x:v>공시/IR URL과 제목. 사본 원천도 추적</x:v>
      </x:c>
      <x:c r="G11" s="21" t="str">
        <x:v>실제 공시 URL</x:v>
      </x:c>
      <x:c r="H11" s="21" t="str">
        <x:v>3·6</x:v>
      </x:c>
    </x:row>
    <x:row r="12" ht="46" customHeight="1">
      <x:c r="A12" s="13" t="str">
        <x:v>document</x:v>
      </x:c>
      <x:c r="B12" s="13" t="str">
        <x:v>published_at / retrieved_at</x:v>
      </x:c>
      <x:c r="C12" s="13" t="str">
        <x:v>datetime</x:v>
      </x:c>
      <x:c r="D12" s="13" t="str">
        <x:v>문서</x:v>
      </x:c>
      <x:c r="E12" s="13" t="str">
        <x:v>필수</x:v>
      </x:c>
      <x:c r="F12" s="13" t="str">
        <x:v>공개일≤평가기준일. 검색·수집일 별도</x:v>
      </x:c>
      <x:c r="G12" s="13" t="str">
        <x:v>ISO 8601</x:v>
      </x:c>
      <x:c r="H12" s="13" t="str">
        <x:v>3·6</x:v>
      </x:c>
    </x:row>
    <x:row r="13" ht="46" customHeight="1">
      <x:c r="A13" s="21" t="str">
        <x:v>document</x:v>
      </x:c>
      <x:c r="B13" s="21" t="str">
        <x:v>content_hash / version</x:v>
      </x:c>
      <x:c r="C13" s="21" t="str">
        <x:v>string</x:v>
      </x:c>
      <x:c r="D13" s="21" t="str">
        <x:v>문서</x:v>
      </x:c>
      <x:c r="E13" s="21" t="str">
        <x:v>필수</x:v>
      </x:c>
      <x:c r="F13" s="21" t="str">
        <x:v>중복제거·재처리·정정 버전 구분</x:v>
      </x:c>
      <x:c r="G13" s="21" t="str">
        <x:v>SHA-256</x:v>
      </x:c>
      <x:c r="H13" s="21" t="str">
        <x:v>3·6</x:v>
      </x:c>
    </x:row>
    <x:row r="14" ht="46" customHeight="1">
      <x:c r="A14" s="13" t="str">
        <x:v>chunk</x:v>
      </x:c>
      <x:c r="B14" s="13" t="str">
        <x:v>chunk_id / doc_id</x:v>
      </x:c>
      <x:c r="C14" s="13" t="str">
        <x:v>string / FK</x:v>
      </x:c>
      <x:c r="D14" s="13" t="str">
        <x:v>청크</x:v>
      </x:c>
      <x:c r="E14" s="13" t="str">
        <x:v>필수</x:v>
      </x:c>
      <x:c r="F14" s="13" t="str">
        <x:v>문서 하위 단위. 헤더·표 문맥 유지</x:v>
      </x:c>
      <x:c r="G14" s="13" t="str">
        <x:v>DOC-P01-001-C03</x:v>
      </x:c>
      <x:c r="H14" s="13" t="str">
        <x:v>RAG</x:v>
      </x:c>
    </x:row>
    <x:row r="15" ht="46" customHeight="1">
      <x:c r="A15" s="21" t="str">
        <x:v>chunk</x:v>
      </x:c>
      <x:c r="B15" s="21" t="str">
        <x:v>text / page / section</x:v>
      </x:c>
      <x:c r="C15" s="21" t="str">
        <x:v>string / int</x:v>
      </x:c>
      <x:c r="D15" s="21" t="str">
        <x:v>청크</x:v>
      </x:c>
      <x:c r="E15" s="21" t="str">
        <x:v>필수</x:v>
      </x:c>
      <x:c r="F15" s="21" t="str">
        <x:v>원문 텍스트와 페이지·절·표 위치</x:v>
      </x:c>
      <x:c r="G15" s="21" t="str">
        <x:v>사업의 내용 / p.12</x:v>
      </x:c>
      <x:c r="H15" s="21" t="str">
        <x:v>RAG</x:v>
      </x:c>
    </x:row>
    <x:row r="16" ht="46" customHeight="1">
      <x:c r="A16" s="13" t="str">
        <x:v>chunk</x:v>
      </x:c>
      <x:c r="B16" s="13" t="str">
        <x:v>embedding / model_version</x:v>
      </x:c>
      <x:c r="C16" s="13" t="str">
        <x:v>float[] / string</x:v>
      </x:c>
      <x:c r="D16" s="13" t="str">
        <x:v>청크·벡터</x:v>
      </x:c>
      <x:c r="E16" s="13" t="str">
        <x:v>필수</x:v>
      </x:c>
      <x:c r="F16" s="13" t="str">
        <x:v>동일 공간 내 차원·정규화 일치</x:v>
      </x:c>
      <x:c r="G16" s="13" t="str">
        <x:v>벡터는 외부 저장</x:v>
      </x:c>
      <x:c r="H16" s="13" t="str">
        <x:v>2·5·6</x:v>
      </x:c>
    </x:row>
    <x:row r="17" ht="46" customHeight="1">
      <x:c r="A17" s="21" t="str">
        <x:v>chunk</x:v>
      </x:c>
      <x:c r="B17" s="21" t="str">
        <x:v>index_type</x:v>
      </x:c>
      <x:c r="C17" s="21" t="str">
        <x:v>enum</x:v>
      </x:c>
      <x:c r="D17" s="21" t="str">
        <x:v>벡터</x:v>
      </x:c>
      <x:c r="E17" s="21" t="str">
        <x:v>필수</x:v>
      </x:c>
      <x:c r="F17" s="21" t="str">
        <x:v>industry / business / risk / evidence 구분</x:v>
      </x:c>
      <x:c r="G17" s="21" t="str">
        <x:v>industry</x:v>
      </x:c>
      <x:c r="H17" s="21" t="str">
        <x:v>2·5·6</x:v>
      </x:c>
    </x:row>
    <x:row r="18" ht="46" customHeight="1">
      <x:c r="A18" s="13" t="str">
        <x:v>profile</x:v>
      </x:c>
      <x:c r="B18" s="13" t="str">
        <x:v>profile_id / company_id</x:v>
      </x:c>
      <x:c r="C18" s="13" t="str">
        <x:v>string / FK</x:v>
      </x:c>
      <x:c r="D18" s="13" t="str">
        <x:v>기업·버전</x:v>
      </x:c>
      <x:c r="E18" s="13" t="str">
        <x:v>필수</x:v>
      </x:c>
      <x:c r="F18" s="13" t="str">
        <x:v>모든 기업에 같은 스키마 적용</x:v>
      </x:c>
      <x:c r="G18" s="13" t="str">
        <x:v>P01-v1</x:v>
      </x:c>
      <x:c r="H18" s="13" t="str">
        <x:v>3·6</x:v>
      </x:c>
    </x:row>
    <x:row r="19" ht="46" customHeight="1">
      <x:c r="A19" s="21" t="str">
        <x:v>profile</x:v>
      </x:c>
      <x:c r="B19" s="21" t="str">
        <x:v>domain / field_key</x:v>
      </x:c>
      <x:c r="C19" s="21" t="str">
        <x:v>enum / string</x:v>
      </x:c>
      <x:c r="D19" s="21" t="str">
        <x:v>프로필 필드</x:v>
      </x:c>
      <x:c r="E19" s="21" t="str">
        <x:v>필수</x:v>
      </x:c>
      <x:c r="F19" s="21" t="str">
        <x:v>business, growth, risk, financial</x:v>
      </x:c>
      <x:c r="G19" s="21" t="str">
        <x:v>business.revenue_model</x:v>
      </x:c>
      <x:c r="H19" s="21" t="str">
        <x:v>3·6</x:v>
      </x:c>
    </x:row>
    <x:row r="20" ht="46" customHeight="1">
      <x:c r="A20" s="13" t="str">
        <x:v>profile</x:v>
      </x:c>
      <x:c r="B20" s="13" t="str">
        <x:v>value / unit / period</x:v>
      </x:c>
      <x:c r="C20" s="13" t="str">
        <x:v>typed / string</x:v>
      </x:c>
      <x:c r="D20" s="13" t="str">
        <x:v>프로필 필드</x:v>
      </x:c>
      <x:c r="E20" s="13" t="str">
        <x:v>필수/nullable</x:v>
      </x:c>
      <x:c r="F20" s="13" t="str">
        <x:v>숫자는 숫자형. 근거 없음은 null, 0과 구분</x:v>
      </x:c>
      <x:c r="G20" s="13" t="str">
        <x:v>0.25 / ratio / FY2025</x:v>
      </x:c>
      <x:c r="H20" s="13" t="str">
        <x:v>3·6</x:v>
      </x:c>
    </x:row>
    <x:row r="21" ht="46" customHeight="1">
      <x:c r="A21" s="21" t="str">
        <x:v>profile</x:v>
      </x:c>
      <x:c r="B21" s="21" t="str">
        <x:v>status</x:v>
      </x:c>
      <x:c r="C21" s="21" t="str">
        <x:v>enum</x:v>
      </x:c>
      <x:c r="D21" s="21" t="str">
        <x:v>프로필 필드</x:v>
      </x:c>
      <x:c r="E21" s="21" t="str">
        <x:v>필수</x:v>
      </x:c>
      <x:c r="F21" s="21" t="str">
        <x:v>confirmed / missing / conflicting / example</x:v>
      </x:c>
      <x:c r="G21" s="21" t="str">
        <x:v>example</x:v>
      </x:c>
      <x:c r="H21" s="21" t="str">
        <x:v>3·6</x:v>
      </x:c>
    </x:row>
    <x:row r="22" ht="46" customHeight="1">
      <x:c r="A22" s="13" t="str">
        <x:v>profile</x:v>
      </x:c>
      <x:c r="B22" s="13" t="str">
        <x:v>evidence_ids</x:v>
      </x:c>
      <x:c r="C22" s="13" t="str">
        <x:v>string[] / FK</x:v>
      </x:c>
      <x:c r="D22" s="13" t="str">
        <x:v>프로필 필드</x:v>
      </x:c>
      <x:c r="E22" s="13" t="str">
        <x:v>필수</x:v>
      </x:c>
      <x:c r="F22" s="13" t="str">
        <x:v>주장을 지지하는 원문 근거 목록</x:v>
      </x:c>
      <x:c r="G22" s="13" t="str">
        <x:v>[EX-E01]</x:v>
      </x:c>
      <x:c r="H22" s="13" t="str">
        <x:v>3·6</x:v>
      </x:c>
    </x:row>
    <x:row r="23" ht="46" customHeight="1">
      <x:c r="A23" s="21" t="str">
        <x:v>profile</x:v>
      </x:c>
      <x:c r="B23" s="21" t="str">
        <x:v>coverage</x:v>
      </x:c>
      <x:c r="C23" s="21" t="str">
        <x:v>float</x:v>
      </x:c>
      <x:c r="D23" s="21" t="str">
        <x:v>기업·프로필</x:v>
      </x:c>
      <x:c r="E23" s="21" t="str">
        <x:v>0~1</x:v>
      </x:c>
      <x:c r="F23" s="21" t="str">
        <x:v>필수 비교 필드 중 근거 충족 개수 / 필수 필드 수</x:v>
      </x:c>
      <x:c r="G23" s="21" t="str">
        <x:v>0.95</x:v>
      </x:c>
      <x:c r="H23" s="21" t="str">
        <x:v>6</x:v>
      </x:c>
    </x:row>
    <x:row r="24" ht="46" customHeight="1">
      <x:c r="A24" s="13" t="str">
        <x:v>evidence</x:v>
      </x:c>
      <x:c r="B24" s="13" t="str">
        <x:v>evidence_id / chunk_id</x:v>
      </x:c>
      <x:c r="C24" s="13" t="str">
        <x:v>string / FK</x:v>
      </x:c>
      <x:c r="D24" s="13" t="str">
        <x:v>근거</x:v>
      </x:c>
      <x:c r="E24" s="13" t="str">
        <x:v>필수</x:v>
      </x:c>
      <x:c r="F24" s="13" t="str">
        <x:v>프로필 필드에서 청크까지 역추적</x:v>
      </x:c>
      <x:c r="G24" s="13" t="str">
        <x:v>EX-E01</x:v>
      </x:c>
      <x:c r="H24" s="13" t="str">
        <x:v>3·6</x:v>
      </x:c>
    </x:row>
    <x:row r="25" ht="46" customHeight="1">
      <x:c r="A25" s="21" t="str">
        <x:v>evidence</x:v>
      </x:c>
      <x:c r="B25" s="21" t="str">
        <x:v>quote / locator / reviewer</x:v>
      </x:c>
      <x:c r="C25" s="21" t="str">
        <x:v>string</x:v>
      </x:c>
      <x:c r="D25" s="21" t="str">
        <x:v>근거</x:v>
      </x:c>
      <x:c r="E25" s="21" t="str">
        <x:v>필수</x:v>
      </x:c>
      <x:c r="F25" s="21" t="str">
        <x:v>짧은 원문 발췌·정확한 위치·검토자</x:v>
      </x:c>
      <x:c r="G25" s="21" t="str">
        <x:v>원문 확인 후 입력</x:v>
      </x:c>
      <x:c r="H25" s="21" t="str">
        <x:v>3·6</x:v>
      </x:c>
    </x:row>
    <x:row r="26" ht="46" customHeight="1">
      <x:c r="A26" s="13" t="str">
        <x:v>financial</x:v>
      </x:c>
      <x:c r="B26" s="13" t="str">
        <x:v>company_id / period / fs_div</x:v>
      </x:c>
      <x:c r="C26" s="13" t="str">
        <x:v>composite key</x:v>
      </x:c>
      <x:c r="D26" s="13" t="str">
        <x:v>기업·기간·기준</x:v>
      </x:c>
      <x:c r="E26" s="13" t="str">
        <x:v>필수·고유</x:v>
      </x:c>
      <x:c r="F26" s="13" t="str">
        <x:v>CFS 연결 / OFS 별도. 기간 중복 합산 금지</x:v>
      </x:c>
      <x:c r="G26" s="13" t="str">
        <x:v>P01 / FY2025 / CFS</x:v>
      </x:c>
      <x:c r="H26" s="13" t="str">
        <x:v>6·7·8</x:v>
      </x:c>
    </x:row>
    <x:row r="27" ht="46" customHeight="1">
      <x:c r="A27" s="21" t="str">
        <x:v>financial</x:v>
      </x:c>
      <x:c r="B27" s="21" t="str">
        <x:v>currency / scale</x:v>
      </x:c>
      <x:c r="C27" s="21" t="str">
        <x:v>string / number</x:v>
      </x:c>
      <x:c r="D27" s="21" t="str">
        <x:v>금액</x:v>
      </x:c>
      <x:c r="E27" s="21" t="str">
        <x:v>필수</x:v>
      </x:c>
      <x:c r="F27" s="21" t="str">
        <x:v>이 파일 KRW·원. 수집단위가 백만원이면 1,000,000배 변환</x:v>
      </x:c>
      <x:c r="G27" s="21" t="str">
        <x:v>KRW / 1</x:v>
      </x:c>
      <x:c r="H27" s="21" t="str">
        <x:v>6·7·8</x:v>
      </x:c>
    </x:row>
    <x:row r="28" ht="46" customHeight="1">
      <x:c r="A28" s="13" t="str">
        <x:v>financial</x:v>
      </x:c>
      <x:c r="B28" s="13" t="str">
        <x:v>revenue / revenue_prior</x:v>
      </x:c>
      <x:c r="C28" s="13" t="str">
        <x:v>number</x:v>
      </x:c>
      <x:c r="D28" s="13" t="str">
        <x:v>연간 또는 TTM</x:v>
      </x:c>
      <x:c r="E28" s="13" t="str">
        <x:v>원</x:v>
      </x:c>
      <x:c r="F28" s="13" t="str">
        <x:v>성장률 산출의 분자·분모. 전기≤0이면 별도 검토</x:v>
      </x:c>
      <x:c r="G28" s="13" t="str">
        <x:v>80,000,000,000</x:v>
      </x:c>
      <x:c r="H28" s="13" t="str">
        <x:v>6</x:v>
      </x:c>
    </x:row>
    <x:row r="29" ht="46" customHeight="1">
      <x:c r="A29" s="21" t="str">
        <x:v>financial</x:v>
      </x:c>
      <x:c r="B29" s="21" t="str">
        <x:v>revenue_yoy</x:v>
      </x:c>
      <x:c r="C29" s="21" t="str">
        <x:v>number</x:v>
      </x:c>
      <x:c r="D29" s="21" t="str">
        <x:v>동일기간 성장률</x:v>
      </x:c>
      <x:c r="E29" s="21" t="str">
        <x:v>ratio</x:v>
      </x:c>
      <x:c r="F29" s="21" t="str">
        <x:v>매출/전기매출 - 1. 25%는 0.25</x:v>
      </x:c>
      <x:c r="G29" s="21" t="str">
        <x:v>0.25</x:v>
      </x:c>
      <x:c r="H29" s="21" t="str">
        <x:v>6</x:v>
      </x:c>
    </x:row>
    <x:row r="30" ht="46" customHeight="1">
      <x:c r="A30" s="13" t="str">
        <x:v>financial</x:v>
      </x:c>
      <x:c r="B30" s="13" t="str">
        <x:v>operating_margin</x:v>
      </x:c>
      <x:c r="C30" s="13" t="str">
        <x:v>number</x:v>
      </x:c>
      <x:c r="D30" s="13" t="str">
        <x:v>동일기간 비율</x:v>
      </x:c>
      <x:c r="E30" s="13" t="str">
        <x:v>ratio</x:v>
      </x:c>
      <x:c r="F30" s="13" t="str">
        <x:v>영업이익 / 매출. 매출 0이면 null</x:v>
      </x:c>
      <x:c r="G30" s="13" t="str">
        <x:v>0.15</x:v>
      </x:c>
      <x:c r="H30" s="13" t="str">
        <x:v>6</x:v>
      </x:c>
    </x:row>
    <x:row r="31" ht="46" customHeight="1">
      <x:c r="A31" s="21" t="str">
        <x:v>financial</x:v>
      </x:c>
      <x:c r="B31" s="21" t="str">
        <x:v>liabilities_assets</x:v>
      </x:c>
      <x:c r="C31" s="21" t="str">
        <x:v>number</x:v>
      </x:c>
      <x:c r="D31" s="21" t="str">
        <x:v>동일 기준일 비율</x:v>
      </x:c>
      <x:c r="E31" s="21" t="str">
        <x:v>ratio</x:v>
      </x:c>
      <x:c r="F31" s="21" t="str">
        <x:v>총부채 / 총자산. 자산≤0이면 검토</x:v>
      </x:c>
      <x:c r="G31" s="21" t="str">
        <x:v>0.40</x:v>
      </x:c>
      <x:c r="H31" s="21" t="str">
        <x:v>6</x:v>
      </x:c>
    </x:row>
    <x:row r="32" ht="46" customHeight="1">
      <x:c r="A32" s="13" t="str">
        <x:v>financial</x:v>
      </x:c>
      <x:c r="B32" s="13" t="str">
        <x:v>net_income_attributable</x:v>
      </x:c>
      <x:c r="C32" s="13" t="str">
        <x:v>number</x:v>
      </x:c>
      <x:c r="D32" s="13" t="str">
        <x:v>선택기간</x:v>
      </x:c>
      <x:c r="E32" s="13" t="str">
        <x:v>원</x:v>
      </x:c>
      <x:c r="F32" s="13" t="str">
        <x:v>보통주 귀속 이익. 연결일 때 비지배지분 분리</x:v>
      </x:c>
      <x:c r="G32" s="13" t="str">
        <x:v>12,000,000,000</x:v>
      </x:c>
      <x:c r="H32" s="13" t="str">
        <x:v>7·8</x:v>
      </x:c>
    </x:row>
    <x:row r="33" ht="46" customHeight="1">
      <x:c r="A33" s="21" t="str">
        <x:v>financial</x:v>
      </x:c>
      <x:c r="B33" s="21" t="str">
        <x:v>normalization_adjustment</x:v>
      </x:c>
      <x:c r="C33" s="21" t="str">
        <x:v>number</x:v>
      </x:c>
      <x:c r="D33" s="21" t="str">
        <x:v>선택기간</x:v>
      </x:c>
      <x:c r="E33" s="21" t="str">
        <x:v>원</x:v>
      </x:c>
      <x:c r="F33" s="21" t="str">
        <x:v>세후 귀속 조정액과 항목별 근거. 조정 후 이익을 비교</x:v>
      </x:c>
      <x:c r="G33" s="21" t="str">
        <x:v>0</x:v>
      </x:c>
      <x:c r="H33" s="21" t="str">
        <x:v>7·8</x:v>
      </x:c>
    </x:row>
    <x:row r="34" ht="46" customHeight="1">
      <x:c r="A34" s="13" t="str">
        <x:v>market</x:v>
      </x:c>
      <x:c r="B34" s="13" t="str">
        <x:v>market_cap / price_date</x:v>
      </x:c>
      <x:c r="C34" s="13" t="str">
        <x:v>number / date</x:v>
      </x:c>
      <x:c r="D34" s="13" t="str">
        <x:v>기업·기준일</x:v>
      </x:c>
      <x:c r="E34" s="13" t="str">
        <x:v>원 / 날짜</x:v>
      </x:c>
      <x:c r="F34" s="13" t="str">
        <x:v>평가대상 보통주와 일치하는 시가총액, 가격 기준일 통일</x:v>
      </x:c>
      <x:c r="G34" s="13" t="str">
        <x:v>240,000,000,000</x:v>
      </x:c>
      <x:c r="H34" s="13" t="str">
        <x:v>7</x:v>
      </x:c>
    </x:row>
    <x:row r="35" ht="46" customHeight="1">
      <x:c r="A35" s="21" t="str">
        <x:v>score</x:v>
      </x:c>
      <x:c r="B35" s="21" t="str">
        <x:v>run_id / target_id / peer_id</x:v>
      </x:c>
      <x:c r="C35" s="21" t="str">
        <x:v>composite key</x:v>
      </x:c>
      <x:c r="D35" s="21" t="str">
        <x:v>실행·기업쌍</x:v>
      </x:c>
      <x:c r="E35" s="21" t="str">
        <x:v>필수·고유</x:v>
      </x:c>
      <x:c r="F35" s="21" t="str">
        <x:v>한 실행 내 비교기업 중복 금지</x:v>
      </x:c>
      <x:c r="G35" s="21" t="str">
        <x:v>RUN01 / TGT / P01</x:v>
      </x:c>
      <x:c r="H35" s="21" t="str">
        <x:v>2·5·6</x:v>
      </x:c>
    </x:row>
    <x:row r="36" ht="46" customHeight="1">
      <x:c r="A36" s="13" t="str">
        <x:v>score</x:v>
      </x:c>
      <x:c r="B36" s="13" t="str">
        <x:v>industry_cos / bm_cos / risk_cos</x:v>
      </x:c>
      <x:c r="C36" s="13" t="str">
        <x:v>number</x:v>
      </x:c>
      <x:c r="D36" s="13" t="str">
        <x:v>기업쌍·모델</x:v>
      </x:c>
      <x:c r="E36" s="13" t="str">
        <x:v>-1~1</x:v>
      </x:c>
      <x:c r="F36" s="13" t="str">
        <x:v>엔진 재정렬 점수를 원시 코사인으로 오인 금지</x:v>
      </x:c>
      <x:c r="G36" s="13" t="str">
        <x:v>0.94 / 0.93 / 0.90</x:v>
      </x:c>
      <x:c r="H36" s="13" t="str">
        <x:v>2·5·6</x:v>
      </x:c>
    </x:row>
    <x:row r="37" ht="46" customHeight="1">
      <x:c r="A37" s="21" t="str">
        <x:v>score</x:v>
      </x:c>
      <x:c r="B37" s="21" t="str">
        <x:v>domain_scores</x:v>
      </x:c>
      <x:c r="C37" s="21" t="str">
        <x:v>number[4]</x:v>
      </x:c>
      <x:c r="D37" s="21" t="str">
        <x:v>기업쌍</x:v>
      </x:c>
      <x:c r="E37" s="21" t="str">
        <x:v>0~100</x:v>
      </x:c>
      <x:c r="F37" s="21" t="str">
        <x:v>BM, 성장, 리스크, 재무 순서</x:v>
      </x:c>
      <x:c r="G37" s="21" t="str">
        <x:v>93 / 90 / 90 / 80</x:v>
      </x:c>
      <x:c r="H37" s="21" t="str">
        <x:v>6</x:v>
      </x:c>
    </x:row>
    <x:row r="38" ht="46" customHeight="1">
      <x:c r="A38" s="13" t="str">
        <x:v>score</x:v>
      </x:c>
      <x:c r="B38" s="13" t="str">
        <x:v>weights / total_score / rank</x:v>
      </x:c>
      <x:c r="C38" s="13" t="str">
        <x:v>number[] / number</x:v>
      </x:c>
      <x:c r="D38" s="13" t="str">
        <x:v>실행·기업쌍</x:v>
      </x:c>
      <x:c r="E38" s="13" t="str">
        <x:v>합계 1 / 점수</x:v>
      </x:c>
      <x:c r="F38" s="13" t="str">
        <x:v>총점 = 영역별 점수×가중치 합. 동점 기준 저장</x:v>
      </x:c>
      <x:c r="G38" s="13" t="str">
        <x:v>0.4 / 0.25 / 0.2 / 0.15</x:v>
      </x:c>
      <x:c r="H38" s="13" t="str">
        <x:v>4·6</x:v>
      </x:c>
    </x:row>
    <x:row r="39" ht="46" customHeight="1">
      <x:c r="A39" s="21" t="str">
        <x:v>selection</x:v>
      </x:c>
      <x:c r="B39" s="21" t="str">
        <x:v>selected / reason / selected_at</x:v>
      </x:c>
      <x:c r="C39" s="21" t="str">
        <x:v>bool / string / datetime</x:v>
      </x:c>
      <x:c r="D39" s="21" t="str">
        <x:v>실행·비교기업</x:v>
      </x:c>
      <x:c r="E39" s="21" t="str">
        <x:v>필수</x:v>
      </x:c>
      <x:c r="F39" s="21" t="str">
        <x:v>사용자 선택과 계산 적격 여부 별개</x:v>
      </x:c>
      <x:c r="G39" s="21" t="str">
        <x:v>true / 사유 / 시각</x:v>
      </x:c>
      <x:c r="H39" s="21" t="str">
        <x:v>7</x:v>
      </x:c>
    </x:row>
    <x:row r="40" ht="46" customHeight="1">
      <x:c r="A40" s="13" t="str">
        <x:v>valuation</x:v>
      </x:c>
      <x:c r="B40" s="13" t="str">
        <x:v>per / eligible / exclusion_reason</x:v>
      </x:c>
      <x:c r="C40" s="13" t="str">
        <x:v>number / bool / string</x:v>
      </x:c>
      <x:c r="D40" s="13" t="str">
        <x:v>실행·비교기업</x:v>
      </x:c>
      <x:c r="E40" s="13" t="str">
        <x:v>배</x:v>
      </x:c>
      <x:c r="F40" s="13" t="str">
        <x:v>양수 이익 및 비교 기준 충족 기업만 포함</x:v>
      </x:c>
      <x:c r="G40" s="13" t="str">
        <x:v>20 / true</x:v>
      </x:c>
      <x:c r="H40" s="13" t="str">
        <x:v>7·8</x:v>
      </x:c>
    </x:row>
    <x:row r="41" ht="46" customHeight="1">
      <x:c r="A41" s="21" t="str">
        <x:v>valuation</x:v>
      </x:c>
      <x:c r="B41" s="21" t="str">
        <x:v>shares_pre / new_shares</x:v>
      </x:c>
      <x:c r="C41" s="21" t="str">
        <x:v>integer</x:v>
      </x:c>
      <x:c r="D41" s="21" t="str">
        <x:v>대상기업·IPO</x:v>
      </x:c>
      <x:c r="E41" s="21" t="str">
        <x:v>주</x:v>
      </x:c>
      <x:c r="F41" s="21" t="str">
        <x:v>IPO 전 평가주식수와 신주. 0 신주 허용</x:v>
      </x:c>
      <x:c r="G41" s="21" t="str">
        <x:v>10,000,000 / 2,000,000</x:v>
      </x:c>
      <x:c r="H41" s="21" t="str">
        <x:v>8</x:v>
      </x:c>
    </x:row>
    <x:row r="42" ht="46" customHeight="1">
      <x:c r="A42" s="13" t="str">
        <x:v>valuation</x:v>
      </x:c>
      <x:c r="B42" s="13" t="str">
        <x:v>secondary_shares / diluted_add</x:v>
      </x:c>
      <x:c r="C42" s="13" t="str">
        <x:v>integer</x:v>
      </x:c>
      <x:c r="D42" s="13" t="str">
        <x:v>대상기업·IPO</x:v>
      </x:c>
      <x:c r="E42" s="13" t="str">
        <x:v>주</x:v>
      </x:c>
      <x:c r="F42" s="13" t="str">
        <x:v>구주는 기존 주식 매각. 희석 추가분 중복 금지</x:v>
      </x:c>
      <x:c r="G42" s="13" t="str">
        <x:v>500,000 / 0</x:v>
      </x:c>
      <x:c r="H42" s="13" t="str">
        <x:v>8</x:v>
      </x:c>
    </x:row>
    <x:row r="43" ht="46" customHeight="1">
      <x:c r="A43" s="21" t="str">
        <x:v>valuation</x:v>
      </x:c>
      <x:c r="B43" s="21" t="str">
        <x:v>discount_max / discount_min</x:v>
      </x:c>
      <x:c r="C43" s="21" t="str">
        <x:v>number</x:v>
      </x:c>
      <x:c r="D43" s="21" t="str">
        <x:v>실행</x:v>
      </x:c>
      <x:c r="E43" s="21" t="str">
        <x:v>0≤min≤max&lt;1</x:v>
      </x:c>
      <x:c r="F43" s="21" t="str">
        <x:v>하단에 최대 할인, 상단에 최소 할인</x:v>
      </x:c>
      <x:c r="G43" s="21" t="str">
        <x:v>0.30 / 0.15</x:v>
      </x:c>
      <x:c r="H43" s="21" t="str">
        <x:v>8</x:v>
      </x:c>
    </x:row>
    <x:row r="44" ht="46" customHeight="1">
      <x:c r="A44" s="13" t="str">
        <x:v>valuation</x:v>
      </x:c>
      <x:c r="B44" s="13" t="str">
        <x:v>per_q1 / per_q3 / price_band</x:v>
      </x:c>
      <x:c r="C44" s="13" t="str">
        <x:v>number</x:v>
      </x:c>
      <x:c r="D44" s="13" t="str">
        <x:v>실행</x:v>
      </x:c>
      <x:c r="E44" s="13" t="str">
        <x:v>배 / 원</x:v>
      </x:c>
      <x:c r="F44" s="13" t="str">
        <x:v>포함 PER의 Q1/Q3, EPS, 할인, 절사 결과</x:v>
      </x:c>
      <x:c r="G44" s="13" t="str">
        <x:v>자동 계산</x:v>
      </x:c>
      <x:c r="H44" s="13" t="str">
        <x:v>8</x:v>
      </x:c>
    </x:row>
    <x:row r="45" ht="46" customHeight="1">
      <x:c r="A45" s="21" t="str">
        <x:v>audit</x:v>
      </x:c>
      <x:c r="B45" s="21" t="str">
        <x:v>input_status / source_version</x:v>
      </x:c>
      <x:c r="C45" s="21" t="str">
        <x:v>enum / string</x:v>
      </x:c>
      <x:c r="D45" s="21" t="str">
        <x:v>입력·실행</x:v>
      </x:c>
      <x:c r="E45" s="21" t="str">
        <x:v>필수</x:v>
      </x:c>
      <x:c r="F45" s="21" t="str">
        <x:v>example / unverified / confirmed와 원천 버전 저장</x:v>
      </x:c>
      <x:c r="G45" s="21" t="str">
        <x:v>example</x:v>
      </x:c>
      <x:c r="H45" s="21" t="str">
        <x:v>전 단계</x:v>
      </x:c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</x:sheetData>
  <x:pageMargins left="0.7" right="0.7" top="0.75" bottom="0.75" header="0.3" footer="0.3"/>
  <x:tableParts count="1">
    <x:tablePart xmlns:r="http://schemas.openxmlformats.org/officeDocument/2006/relationships" r:id="R443a43ea6c8642f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81" hidden="0" customWidth="1"/>
    <x:col min="4" max="4" width="46" hidden="0" customWidth="1"/>
  </x:cols>
  <x:sheetData>
    <x:row r="1" ht="25" customHeight="1">
      <x:c r="A1" s="3"/>
      <x:c r="B1" s="3"/>
      <x:c r="C1" s="3"/>
      <x:c r="D1" s="3"/>
    </x:row>
    <x:row r="2" ht="25" customHeight="1">
      <x:c r="A2" s="5" t="str">
        <x:v>점수 방법과 운영 기준</x:v>
      </x:c>
      <x:c r="B2" s="3"/>
      <x:c r="C2" s="3"/>
      <x:c r="D2" s="3"/>
    </x:row>
    <x:row r="3" ht="25" customHeight="1">
      <x:c r="A3" s="6"/>
      <x:c r="B3" s="6"/>
      <x:c r="C3" s="6"/>
      <x:c r="D3" s="6"/>
    </x:row>
    <x:row r="4" ht="25" customHeight="1">
      <x:c r="A4" s="3"/>
      <x:c r="B4" s="3"/>
      <x:c r="C4" s="3"/>
      <x:c r="D4" s="3"/>
    </x:row>
    <x:row r="5" ht="34" customHeight="1">
      <x:c r="A5" s="12" t="str">
        <x:v>주제</x:v>
      </x:c>
      <x:c r="B5" s="12" t="str">
        <x:v>규칙 / 공식</x:v>
      </x:c>
      <x:c r="C5" s="12" t="str">
        <x:v>설명</x:v>
      </x:c>
      <x:c r="D5" s="12" t="str">
        <x:v>적용 / 출처</x:v>
      </x:c>
    </x:row>
    <x:row r="6" ht="62" customHeight="1">
      <x:c r="A6" s="13" t="str">
        <x:v>계산 범위</x:v>
      </x:c>
      <x:c r="B6" s="13" t="str">
        <x:v>엑셀에서 자동 계산</x:v>
      </x:c>
      <x:c r="C6" s="13" t="str">
        <x:v>산업/BM 필터, 영역 점수, 가중평균, 순위, 사용자 선택 반영, PER Q1/Q3, EPS·할인·절사·공모금액</x:v>
      </x:c>
      <x:c r="D6" s="13" t="str">
        <x:v>수식 계산</x:v>
      </x:c>
    </x:row>
    <x:row r="7" ht="62" customHeight="1">
      <x:c r="A7" s="21" t="str">
        <x:v>외부 구현 범위</x:v>
      </x:c>
      <x:c r="B7" s="21" t="str">
        <x:v>엑셀에서 실행하지 않음</x:v>
      </x:c>
      <x:c r="C7" s="21" t="str">
        <x:v>문서 수집·청크화·벡터 생성·검색·재정렬·LLM 프로필 생성·원문 검증은 별도 RAG 서비스 작업</x:v>
      </x:c>
      <x:c r="D7" s="21" t="str">
        <x:v>입력설정의 RAG 설정은 설계 값</x:v>
      </x:c>
    </x:row>
    <x:row r="8" ht="62" customHeight="1">
      <x:c r="A8" s="13" t="str">
        <x:v>BM 점수</x:v>
      </x:c>
      <x:c r="B8" s="13" t="str">
        <x:v>100 × max(0, min(1, cosine))</x:v>
      </x:c>
      <x:c r="C8" s="13" t="str">
        <x:v>같은 모델로 제품·고객·수익구조·채널 텍스트를 임베딩하여 코사인 계산. 음수는 0점</x:v>
      </x:c>
      <x:c r="D8" s="13" t="str">
        <x:v>BM 임계값은 원시 코사인에 적용</x:v>
      </x:c>
    </x:row>
    <x:row r="9" ht="62" customHeight="1">
      <x:c r="A9" s="21" t="str">
        <x:v>성장 점수</x:v>
      </x:c>
      <x:c r="B9" s="21" t="str">
        <x:v>100 × max(0, 1 - |g_peer-g_target| / τ_g)</x:v>
      </x:c>
      <x:c r="C9" s="21" t="str">
        <x:v>매출 성장률의 차이를 비교. τ_g=0.30 예시. 성장률이 높다는 이유로 점수가 높아지지 않음</x:v>
      </x:c>
      <x:c r="D9" s="21" t="str">
        <x:v>성장률·전기 매출의 기준 통일</x:v>
      </x:c>
    </x:row>
    <x:row r="10" ht="62" customHeight="1">
      <x:c r="A10" s="13" t="str">
        <x:v>리스크 점수</x:v>
      </x:c>
      <x:c r="B10" s="13" t="str">
        <x:v>100 × max(0, min(1, cosine))</x:v>
      </x:c>
      <x:c r="C10" s="13" t="str">
        <x:v>규제·경쟁·고객집중·운영 위험 구조를 임베딩하여 유사도 계산. 위험의 크기나 우량도를 평가하지 않음</x:v>
      </x:c>
      <x:c r="D10" s="13" t="str">
        <x:v>위험 수준은 별도 프로필로 확인</x:v>
      </x:c>
    </x:row>
    <x:row r="11" ht="62" customHeight="1">
      <x:c r="A11" s="21" t="str">
        <x:v>재무 점수</x:v>
      </x:c>
      <x:c r="B11" s="21" t="str">
        <x:v>100 × 두 비율 근접도의 평균</x:v>
      </x:c>
      <x:c r="C11" s="21" t="str">
        <x:v>각 근접도=max(0,1-|peer-target|/τ_f). 영업이익률·부채/자산에 동일 가중. τ_f=0.20 예시</x:v>
      </x:c>
      <x:c r="D11" s="21" t="str">
        <x:v>0.20은 20%p 차이</x:v>
      </x:c>
    </x:row>
    <x:row r="12" ht="62" customHeight="1">
      <x:c r="A12" s="13" t="str">
        <x:v>최종 점수</x:v>
      </x:c>
      <x:c r="B12" s="13" t="str">
        <x:v>Σ (영역 점수 × 사용자 가중치)</x:v>
      </x:c>
      <x:c r="C12" s="13" t="str">
        <x:v>4개 영역 모두 산출 가능, 근거 충족률 이상, 가중치 합계 1이어야 표시. 누락을 0점으로 치환하지 않음</x:v>
      </x:c>
      <x:c r="D12" s="13" t="str">
        <x:v>모든 가중치≥0</x:v>
      </x:c>
    </x:row>
    <x:row r="13" ht="62" customHeight="1">
      <x:c r="A13" s="21" t="str">
        <x:v>동점·순위</x:v>
      </x:c>
      <x:c r="B13" s="21" t="str">
        <x:v>총점 내림차순, 동점은 원천 순서</x:v>
      </x:c>
      <x:c r="C13" s="21" t="str">
        <x:v>산업 상한·BM 상한에도 동일한 표시 규칙 적용. 운영에서는 회사 ID 오름차순 등 안정적 규칙으로 고정</x:v>
      </x:c>
      <x:c r="D13" s="21" t="str">
        <x:v>예시 파일은 원천 행 순서 유지</x:v>
      </x:c>
    </x:row>
    <x:row r="14" ht="62" customHeight="1">
      <x:c r="A14" s="13" t="str">
        <x:v>근거 충족률</x:v>
      </x:c>
      <x:c r="B14" s="13" t="str">
        <x:v>근거 있는 필수 필드 수 / 필수 필드 수</x:v>
      </x:c>
      <x:c r="C14" s="13" t="str">
        <x:v>필수 필드 목록을 스키마 버전에 고정. 비어 있는 필드는 분모에서 빼지 않음. LLM 자체 확신 점수와 구분</x:v>
      </x:c>
      <x:c r="D14" s="13" t="str">
        <x:v>예시 80% 이상</x:v>
      </x:c>
    </x:row>
    <x:row r="15" ht="62" customHeight="1">
      <x:c r="A15" s="21" t="str">
        <x:v>수치 추출</x:v>
      </x:c>
      <x:c r="B15" s="21" t="str">
        <x:v>원천 정형 재무 우선</x:v>
      </x:c>
      <x:c r="C15" s="21" t="str">
        <x:v>재무 숫자는 원문·API를 우선 사용하고 LLM 요약으로 대체하지 않음. 연결/별도·단위·누적/분기·지배주주 귀속 검토</x:v>
      </x:c>
      <x:c r="D15" s="21" t="str">
        <x:v>수치와 설명 출처 모두 보존</x:v>
      </x:c>
    </x:row>
    <x:row r="16" ht="62" customHeight="1">
      <x:c r="A16" s="13" t="str">
        <x:v>기간 정합</x:v>
      </x:c>
      <x:c r="B16" s="13" t="str">
        <x:v>기준일에 알려진 정보만 사용</x:v>
      </x:c>
      <x:c r="C16" s="13" t="str">
        <x:v>공개일≤평가기준일. TTM은 최근 연간 + 당기 누적 - 전년동기 누적. 누적 분기값을 단순 합산하지 않음</x:v>
      </x:c>
      <x:c r="D16" s="13" t="str">
        <x:v>이 파일 기본은 FY2025 예시</x:v>
      </x:c>
    </x:row>
    <x:row r="17" ht="62" customHeight="1">
      <x:c r="A17" s="21" t="str">
        <x:v>사전 수집</x:v>
      </x:c>
      <x:c r="B17" s="21" t="str">
        <x:v>단계 2 전 산업 인덱스 준비</x:v>
      </x:c>
      <x:c r="C17" s="21" t="str">
        <x:v>회사 마스터·산업 설명을 주기적으로 수집. 단계 5 전 1차 후보의 간략 BM 정보를 확보하여 비교 가능하게 함</x:v>
      </x:c>
      <x:c r="D17" s="21" t="str">
        <x:v>상세 프로필은 2차 통과 뒤 생성</x:v>
      </x:c>
    </x:row>
    <x:row r="18" ht="62" customHeight="1">
      <x:c r="A18" s="13" t="str">
        <x:v>학습의 의미</x:v>
      </x:c>
      <x:c r="B18" s="13" t="str">
        <x:v>프로필 임베딩과 색인 갱신</x:v>
      </x:c>
      <x:c r="C18" s="13" t="str">
        <x:v>RAG는 근거를 검색해 LLM에 제공하는 구조. 대상기업 프로필 저장은 모델 파라미터 재학습을 뜻하지 않음</x:v>
      </x:c>
      <x:c r="D18" s="13" t="str">
        <x:v>문서·프로필 색인을 분리</x:v>
      </x:c>
    </x:row>
    <x:row r="19" ht="62" customHeight="1">
      <x:c r="A19" s="21" t="str">
        <x:v>추출 규칙</x:v>
      </x:c>
      <x:c r="B19" s="21" t="str">
        <x:v>근거 기반 JSON만 반환</x:v>
      </x:c>
      <x:c r="C19" s="21" t="str">
        <x:v>필드별 value, unit, period, status, evidence_ids 반환. 근거 없으면 null. 상충 자료는 선택 이유 기록. 스키마 검증 실패 시 재시도</x:v>
      </x:c>
      <x:c r="D19" s="21" t="str">
        <x:v>재시도 횟수와 모델 버전 확정 필요</x:v>
      </x:c>
    </x:row>
    <x:row r="20" ht="62" customHeight="1">
      <x:c r="A20" s="13" t="str">
        <x:v>성능 검증</x:v>
      </x:c>
      <x:c r="B20" s="13" t="str">
        <x:v>사람이 만든 비교기업 정답셋 사용</x:v>
      </x:c>
      <x:c r="C20" s="13" t="str">
        <x:v>산업/BM 필터 Recall@N, 검색 근거 적합도, 수치 추출 정확도, 순위 nDCG 등을 측정하여 임계값 조정</x:v>
      </x:c>
      <x:c r="D20" s="13" t="str">
        <x:v>현재 설정은 검증된 최적값 아님</x:v>
      </x:c>
    </x:row>
    <x:row r="21" ht="62" customHeight="1">
      <x:c r="A21" s="21" t="str">
        <x:v>갱신 규칙</x:v>
      </x:c>
      <x:c r="B21" s="21" t="str">
        <x:v>입력 변화에 맞는 단계만 재실행</x:v>
      </x:c>
      <x:c r="C21" s="21" t="str">
        <x:v>가중치 변경: 총점·순위. 선택기업 변경: PER. 신주 변경: EPS·밴드. 공시/모델 변경: 임베딩·프로필·점수 재생성</x:v>
      </x:c>
      <x:c r="D21" s="21" t="str">
        <x:v>실행 ID와 각 산출물 버전 저장</x:v>
      </x:c>
    </x:row>
    <x:row r="22" ht="62" customHeight="1">
      <x:c r="A22" s="13" t="str">
        <x:v>예시 / 확정</x:v>
      </x:c>
      <x:c r="B22" s="13" t="str">
        <x:v>실제 원천과 검토 완료 후 전환</x:v>
      </x:c>
      <x:c r="C22" s="13" t="str">
        <x:v>원문의 사용자 요구사항은 확인됨. 모든 회사·재무·코사인·임계값은 가상 예시/설계 제안. 확정 모드는 사람이 붙인 상태를 검사</x:v>
      </x:c>
      <x:c r="D22" s="13" t="str">
        <x:v>확정 표시는 외부 검증을 자동 수행하지 않음</x:v>
      </x:c>
    </x:row>
    <x:row r="23" ht="62" customHeight="1">
      <x:c r="A23" s="21" t="str">
        <x:v>확장 방법</x:v>
      </x:c>
      <x:c r="B23" s="21" t="str">
        <x:v>8개 후보를 넘길 때</x:v>
      </x:c>
      <x:c r="C23" s="21" t="str">
        <x:v>원천 두 표에 기업 ID와 입력을 추가하고 유사도·PER 수식 및 참조 범위를 함께 확장. 현재 파일은 8개 후보에 계산 범위 고정</x:v>
      </x:c>
      <x:c r="D23" s="21" t="str">
        <x:v>테이블 추가만으로 계산 범위가 자동 확대되지 않음</x:v>
      </x:c>
    </x:row>
    <x:row r="24" ht="62" customHeight="1">
      <x:c r="A24" s="13" t="str">
        <x:v>실무 PER 검토</x:v>
      </x:c>
      <x:c r="B24" s="13" t="str">
        <x:v>같은 보통주 가치와 귀속 이익 비교</x:v>
      </x:c>
      <x:c r="C24" s="13" t="str">
        <x:v>적자·0 이익 기업 제외. 일회성 이익과 회계 기준 차이 검토. PER 상한만으로 모든 이상치를 해결할 수 없음</x:v>
      </x:c>
      <x:c r="D24" s="13" t="str">
        <x:v>출처 R2</x:v>
      </x:c>
    </x:row>
    <x:row r="25" ht="62" customHeight="1">
      <x:c r="A25" s="21" t="str">
        <x:v>신주·구주 처리</x:v>
      </x:c>
      <x:c r="B25" s="21" t="str">
        <x:v>단순 희석 평가 가정</x:v>
      </x:c>
      <x:c r="C25" s="21" t="str">
        <x:v>신주·추가 희석은 EPS 분모 증가. 구주는 분모 증가 없음. 조달자금의 현금 가산이나 미래 수익 증가를 별도로 반영하지 않음</x:v>
      </x:c>
      <x:c r="D25" s="21" t="str">
        <x:v>평가 방식 자체는 제안 가정</x:v>
      </x:c>
    </x:row>
    <x:row r="26" ht="62" customHeight="1">
      <x:c r="A26" s="13" t="str">
        <x:v>자료 출처 R1</x:v>
      </x:c>
      <x:c r="B26" s="13" t="str">
        <x:v>참조 사용자 대화</x:v>
      </x:c>
      <x:c r="C26" s="13" t="str">
        <x:v>산업·BM 두 번 필터, 4영역 가중평균, 사용자 PER 기업 선택, 이익·주식수로 공모가 계산이라는 요구사항을 반영</x:v>
      </x:c>
      <x:c r="D26" s="56" t="str">
        <x:v>chatgpt-conversation://6ac71b2c-5ce8-83ec-a7b2-79a76bc89306</x:v>
      </x:c>
    </x:row>
    <x:row r="27" ht="62" customHeight="1">
      <x:c r="A27" s="21" t="str">
        <x:v>자료 출처 R2</x:v>
      </x:c>
      <x:c r="B27" s="21" t="str">
        <x:v>NYU Stern · Aswath Damodaran</x:v>
      </x:c>
      <x:c r="C27" s="21" t="str">
        <x:v>PER 정의 및 이익·주식수·회계 기준 일관성 참고. 본 파일의 할인율·사분위수 밴드·임계값은 별도 예시 설계</x:v>
      </x:c>
      <x:c r="D27" s="57" t="str">
        <x:v>https://people.stern.nyu.edu/adamodar/pdfiles/pe.pdf</x:v>
      </x:c>
    </x:row>
    <x:row r="28" ht="62" customHeight="1">
      <x:c r="A28" s="13" t="str">
        <x:v>자료 출처 R3</x:v>
      </x:c>
      <x:c r="B28" s="13" t="str">
        <x:v>금융감독원 Open DART</x:v>
      </x:c>
      <x:c r="C28" s="13" t="str">
        <x:v>정기보고서 주요정보·주식 총수 및 재무정보를 수집할 공식 데이터 경로. 현재 파일에서 API를 호출하거나 실기업 수치를 수집하지 않음</x:v>
      </x:c>
      <x:c r="D28" s="56" t="str">
        <x:v>https://opendart.fss.or.kr/guide/main.do?apiGrpCd=DS002</x:v>
      </x:c>
    </x:row>
    <x:row r="29" ht="62" customHeight="1">
      <x:c r="A29" s="21" t="str">
        <x:v>자료 출처 R4</x:v>
      </x:c>
      <x:c r="B29" s="21" t="str">
        <x:v>금융감독원 Open DART</x:v>
      </x:c>
      <x:c r="C29" s="21" t="str">
        <x:v>기업공시 원문·재무정보 개발가이드. 비상장 대상기업은 자료 제공 범위를 확인하고 부족 자료를 별도 확보</x:v>
      </x:c>
      <x:c r="D29" s="57" t="str">
        <x:v>https://opendart.fss.or.kr/guide/main.do</x:v>
      </x:c>
    </x:row>
    <x:row r="30" ht="62" customHeight="1">
      <x:c r="A30" s="13" t="str">
        <x:v>자료 출처 R5</x:v>
      </x:c>
      <x:c r="B30" s="13" t="str">
        <x:v>Microsoft Learn · RAG 개요</x:v>
      </x:c>
      <x:c r="C30" s="13" t="str">
        <x:v>검색·색인을 통해 근거를 LLM에 제공하는 RAG 구조 참고. 특정 공급자 도입을 확정한 것은 아님</x:v>
      </x:c>
      <x:c r="D30" s="56" t="str">
        <x:v>https://learn.microsoft.com/en-us/azure/search/retrieval-augmented-generation-overview</x:v>
      </x:c>
    </x:row>
    <x:row r="31" ht="62" customHeight="1">
      <x:c r="A31" s="21" t="str">
        <x:v>출처 확인일</x:v>
      </x:c>
      <x:c r="B31" s="21" t="str">
        <x:v>2026-10-08</x:v>
      </x:c>
      <x:c r="C31" s="21" t="str">
        <x:v>참조 대화의 과거 답변은 본문 대신 참조 표시만 제공되어, 실제 확인 가능한 사용자 메시지의 흐름으로 재구성</x:v>
      </x:c>
      <x:c r="D31" s="21" t="str">
        <x:v>기존 답변의 세부 설정은 확인되지 않음</x:v>
      </x:c>
    </x:row>
    <x:row r="32" ht="25" customHeight="1">
      <x:c r="A32" s="3"/>
      <x:c r="B32" s="3"/>
      <x:c r="C32" s="3"/>
      <x:c r="D32" s="3"/>
    </x:row>
    <x:row r="33" ht="25" customHeight="1">
      <x:c r="A33" s="3"/>
      <x:c r="B33" s="3"/>
      <x:c r="C33" s="3"/>
      <x:c r="D33" s="3"/>
    </x:row>
    <x:row r="34" ht="25" customHeight="1">
      <x:c r="A34" s="3"/>
      <x:c r="B34" s="3"/>
      <x:c r="C34" s="3"/>
      <x:c r="D34" s="3"/>
    </x:row>
    <x:row r="35" ht="25" customHeight="1">
      <x:c r="A35" s="3"/>
      <x:c r="B35" s="3"/>
      <x:c r="C35" s="3"/>
      <x:c r="D35" s="3"/>
    </x:row>
    <x:row r="36" ht="25" customHeight="1">
      <x:c r="A36" s="3"/>
      <x:c r="B36" s="3"/>
      <x:c r="C36" s="3"/>
      <x:c r="D36" s="3"/>
    </x:row>
    <x:row r="37" ht="25" customHeight="1">
      <x:c r="A37" s="3"/>
      <x:c r="B37" s="3"/>
      <x:c r="C37" s="3"/>
      <x:c r="D37" s="3"/>
    </x:row>
    <x:row r="38" ht="25" customHeight="1">
      <x:c r="A38" s="3"/>
      <x:c r="B38" s="3"/>
      <x:c r="C38" s="3"/>
      <x:c r="D38" s="3"/>
    </x:row>
    <x:row r="39" ht="25" customHeight="1">
      <x:c r="A39" s="3"/>
      <x:c r="B39" s="3"/>
      <x:c r="C39" s="3"/>
      <x:c r="D39" s="3"/>
    </x:row>
    <x:row r="40" ht="25" customHeight="1">
      <x:c r="A40" s="3"/>
      <x:c r="B40" s="3"/>
      <x:c r="C40" s="3"/>
      <x:c r="D40" s="3"/>
    </x:row>
    <x:row r="41" ht="25" customHeight="1">
      <x:c r="A41" s="3"/>
      <x:c r="B41" s="3"/>
      <x:c r="C41" s="3"/>
      <x:c r="D41" s="3"/>
    </x:row>
    <x:row r="42" ht="25" customHeight="1">
      <x:c r="A42" s="3"/>
      <x:c r="B42" s="3"/>
      <x:c r="C42" s="3"/>
      <x:c r="D42" s="3"/>
    </x:row>
    <x:row r="43" ht="25" customHeight="1">
      <x:c r="A43" s="3"/>
      <x:c r="B43" s="3"/>
      <x:c r="C43" s="3"/>
      <x:c r="D43" s="3"/>
    </x:row>
    <x:row r="44" ht="25" customHeight="1">
      <x:c r="A44" s="3"/>
      <x:c r="B44" s="3"/>
      <x:c r="C44" s="3"/>
      <x:c r="D44" s="3"/>
    </x:row>
    <x:row r="45" ht="25" customHeight="1">
      <x:c r="A45" s="3"/>
      <x:c r="B45" s="3"/>
      <x:c r="C45" s="3"/>
      <x:c r="D45" s="3"/>
    </x:row>
  </x:sheetData>
  <x:pageMargins left="0.7" right="0.7" top="0.75" bottom="0.75" header="0.3" footer="0.3"/>
  <x:tableParts count="1">
    <x:tablePart xmlns:r="http://schemas.openxmlformats.org/officeDocument/2006/relationships" r:id="Raf2943552bc246aa"/>
  </x:tableParts>
</x:worksheet>
</file>